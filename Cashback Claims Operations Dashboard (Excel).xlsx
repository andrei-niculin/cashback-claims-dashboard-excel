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claud\Desktop\"/>
    </mc:Choice>
  </mc:AlternateContent>
  <xr:revisionPtr revIDLastSave="0" documentId="13_ncr:1_{13B64444-DD1E-4BBF-8C24-70F8E43571CB}" xr6:coauthVersionLast="47" xr6:coauthVersionMax="47" xr10:uidLastSave="{00000000-0000-0000-0000-000000000000}"/>
  <bookViews>
    <workbookView xWindow="-120" yWindow="-120" windowWidth="29040" windowHeight="15720" xr2:uid="{FAACE85B-E3BD-4114-A54F-11F3CD15CE0D}"/>
  </bookViews>
  <sheets>
    <sheet name="Claims" sheetId="1" r:id="rId1"/>
    <sheet name="Reference_Data" sheetId="4" state="hidden" r:id="rId2"/>
    <sheet name="Products" sheetId="3" state="hidden" r:id="rId3"/>
    <sheet name="Dashboard" sheetId="7" r:id="rId4"/>
    <sheet name="Pivot_Data" sheetId="8" state="hidden" r:id="rId5"/>
  </sheets>
  <definedNames>
    <definedName name="Slicer_Payment_Status">#N/A</definedName>
    <definedName name="Slicer_Product">#N/A</definedName>
    <definedName name="Slicer_Validation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 i="1" l="1" a="1"/>
  <c r="B2" i="1" s="1"/>
  <c r="A2" i="1" s="1"/>
  <c r="B3" i="1" a="1"/>
  <c r="B3" i="1" s="1"/>
  <c r="A3" i="1" s="1"/>
  <c r="B4" i="1" a="1"/>
  <c r="B4" i="1" s="1"/>
  <c r="A4" i="1" s="1"/>
  <c r="B5" i="1" a="1"/>
  <c r="B5" i="1" s="1"/>
  <c r="A5" i="1" s="1"/>
  <c r="B6" i="1" a="1"/>
  <c r="B6" i="1" s="1"/>
  <c r="A6" i="1" s="1"/>
  <c r="B7" i="1" a="1"/>
  <c r="B7" i="1" s="1"/>
  <c r="A7" i="1" s="1"/>
  <c r="B8" i="1" a="1"/>
  <c r="B8" i="1" s="1"/>
  <c r="A8" i="1" s="1"/>
  <c r="B9" i="1" a="1"/>
  <c r="B9" i="1" s="1"/>
  <c r="A9" i="1" s="1"/>
  <c r="B10" i="1" a="1"/>
  <c r="B10" i="1" s="1"/>
  <c r="A10" i="1" s="1"/>
  <c r="B11" i="1" a="1"/>
  <c r="B11" i="1" s="1"/>
  <c r="A11" i="1" s="1"/>
  <c r="B12" i="1" a="1"/>
  <c r="B12" i="1" s="1"/>
  <c r="A12" i="1" s="1"/>
  <c r="B13" i="1" a="1"/>
  <c r="B13" i="1" s="1"/>
  <c r="A13" i="1" s="1"/>
  <c r="B14" i="1" a="1"/>
  <c r="B14" i="1" s="1"/>
  <c r="A14" i="1" s="1"/>
  <c r="B15" i="1" a="1"/>
  <c r="B15" i="1" s="1"/>
  <c r="A15" i="1" s="1"/>
  <c r="B16" i="1" a="1"/>
  <c r="B16" i="1" s="1"/>
  <c r="A16" i="1" s="1"/>
  <c r="B17" i="1" a="1"/>
  <c r="B17" i="1" s="1"/>
  <c r="A17" i="1" s="1"/>
  <c r="B18" i="1" a="1"/>
  <c r="B18" i="1" s="1"/>
  <c r="A18" i="1" s="1"/>
  <c r="B19" i="1" a="1"/>
  <c r="B19" i="1" s="1"/>
  <c r="A19" i="1" s="1"/>
  <c r="B20" i="1" a="1"/>
  <c r="B20" i="1" s="1"/>
  <c r="A20" i="1" s="1"/>
  <c r="B21" i="1" a="1"/>
  <c r="B21" i="1" s="1"/>
  <c r="A21" i="1" s="1"/>
  <c r="B22" i="1" a="1"/>
  <c r="B22" i="1" s="1"/>
  <c r="A22" i="1" s="1"/>
  <c r="B23" i="1" a="1"/>
  <c r="B23" i="1" s="1"/>
  <c r="A23" i="1" s="1"/>
  <c r="B24" i="1" a="1"/>
  <c r="B24" i="1" s="1"/>
  <c r="A24" i="1" s="1"/>
  <c r="B25" i="1" a="1"/>
  <c r="B25" i="1" s="1"/>
  <c r="A25" i="1" s="1"/>
  <c r="B26" i="1" a="1"/>
  <c r="B26" i="1" s="1"/>
  <c r="A26" i="1" s="1"/>
  <c r="B27" i="1" a="1"/>
  <c r="B27" i="1" s="1"/>
  <c r="A27" i="1" s="1"/>
  <c r="B28" i="1" a="1"/>
  <c r="B28" i="1" s="1"/>
  <c r="A28" i="1" s="1"/>
  <c r="B29" i="1" a="1"/>
  <c r="B29" i="1" s="1"/>
  <c r="A29" i="1" s="1"/>
  <c r="B30" i="1" a="1"/>
  <c r="B30" i="1" s="1"/>
  <c r="A30" i="1" s="1"/>
  <c r="B31" i="1" a="1"/>
  <c r="B31" i="1" s="1"/>
  <c r="A31" i="1" s="1"/>
  <c r="B32" i="1" a="1"/>
  <c r="B32" i="1" s="1"/>
  <c r="A32" i="1" s="1"/>
  <c r="B33" i="1" a="1"/>
  <c r="B33" i="1" s="1"/>
  <c r="A33" i="1" s="1"/>
  <c r="B34" i="1" a="1"/>
  <c r="B34" i="1" s="1"/>
  <c r="A34" i="1" s="1"/>
  <c r="B35" i="1" a="1"/>
  <c r="B35" i="1" s="1"/>
  <c r="A35" i="1" s="1"/>
  <c r="B36" i="1" a="1"/>
  <c r="B36" i="1" s="1"/>
  <c r="A36" i="1" s="1"/>
  <c r="B37" i="1" a="1"/>
  <c r="B37" i="1" s="1"/>
  <c r="A37" i="1" s="1"/>
  <c r="B38" i="1" a="1"/>
  <c r="B38" i="1" s="1"/>
  <c r="A38" i="1" s="1"/>
  <c r="B39" i="1" a="1"/>
  <c r="B39" i="1" s="1"/>
  <c r="A39" i="1" s="1"/>
  <c r="B40" i="1" a="1"/>
  <c r="B40" i="1" s="1"/>
  <c r="A40" i="1" s="1"/>
  <c r="B41" i="1" a="1"/>
  <c r="B41" i="1" s="1"/>
  <c r="A41" i="1" s="1"/>
  <c r="B42" i="1" a="1"/>
  <c r="B42" i="1" s="1"/>
  <c r="A42" i="1" s="1"/>
  <c r="B43" i="1" a="1"/>
  <c r="B43" i="1" s="1"/>
  <c r="A43" i="1" s="1"/>
  <c r="B44" i="1" a="1"/>
  <c r="B44" i="1" s="1"/>
  <c r="A44" i="1" s="1"/>
  <c r="B45" i="1" a="1"/>
  <c r="B45" i="1" s="1"/>
  <c r="A45" i="1" s="1"/>
  <c r="B46" i="1" a="1"/>
  <c r="B46" i="1" s="1"/>
  <c r="A46" i="1" s="1"/>
  <c r="B47" i="1" a="1"/>
  <c r="B47" i="1" s="1"/>
  <c r="A47" i="1" s="1"/>
  <c r="B48" i="1" a="1"/>
  <c r="B48" i="1" s="1"/>
  <c r="A48" i="1" s="1"/>
  <c r="B49" i="1" a="1"/>
  <c r="B49" i="1" s="1"/>
  <c r="A49" i="1" s="1"/>
  <c r="B50" i="1" a="1"/>
  <c r="B50" i="1" s="1"/>
  <c r="A50" i="1" s="1"/>
  <c r="B51" i="1" a="1"/>
  <c r="B51" i="1" s="1"/>
  <c r="A51" i="1" s="1"/>
  <c r="B52" i="1" a="1"/>
  <c r="B52" i="1" s="1"/>
  <c r="A52" i="1" s="1"/>
  <c r="B53" i="1" a="1"/>
  <c r="B53" i="1" s="1"/>
  <c r="A53" i="1" s="1"/>
  <c r="B54" i="1" a="1"/>
  <c r="B54" i="1" s="1"/>
  <c r="A54" i="1" s="1"/>
  <c r="B55" i="1" a="1"/>
  <c r="B55" i="1" s="1"/>
  <c r="A55" i="1" s="1"/>
  <c r="B56" i="1" a="1"/>
  <c r="B56" i="1" s="1"/>
  <c r="A56" i="1" s="1"/>
  <c r="B57" i="1" a="1"/>
  <c r="B57" i="1" s="1"/>
  <c r="A57" i="1" s="1"/>
  <c r="B58" i="1" a="1"/>
  <c r="B58" i="1" s="1"/>
  <c r="A58" i="1" s="1"/>
  <c r="B59" i="1" a="1"/>
  <c r="B59" i="1" s="1"/>
  <c r="A59" i="1" s="1"/>
  <c r="B60" i="1" a="1"/>
  <c r="B60" i="1" s="1"/>
  <c r="A60" i="1" s="1"/>
  <c r="B61" i="1" a="1"/>
  <c r="B61" i="1" s="1"/>
  <c r="A61" i="1" s="1"/>
  <c r="B62" i="1" a="1"/>
  <c r="B62" i="1" s="1"/>
  <c r="A62" i="1" s="1"/>
  <c r="B63" i="1" a="1"/>
  <c r="B63" i="1" s="1"/>
  <c r="A63" i="1" s="1"/>
  <c r="B64" i="1" a="1"/>
  <c r="B64" i="1" s="1"/>
  <c r="A64" i="1" s="1"/>
  <c r="B65" i="1" a="1"/>
  <c r="B65" i="1" s="1"/>
  <c r="A65" i="1" s="1"/>
  <c r="B66" i="1" a="1"/>
  <c r="B66" i="1" s="1"/>
  <c r="A66" i="1" s="1"/>
  <c r="B67" i="1" a="1"/>
  <c r="B67" i="1" s="1"/>
  <c r="A67" i="1" s="1"/>
  <c r="B68" i="1" a="1"/>
  <c r="B68" i="1" s="1"/>
  <c r="A68" i="1" s="1"/>
  <c r="B69" i="1" a="1"/>
  <c r="B69" i="1" s="1"/>
  <c r="A69" i="1" s="1"/>
  <c r="B70" i="1" a="1"/>
  <c r="B70" i="1" s="1"/>
  <c r="A70" i="1" s="1"/>
  <c r="B71" i="1" a="1"/>
  <c r="B71" i="1" s="1"/>
  <c r="A71" i="1" s="1"/>
  <c r="B72" i="1" a="1"/>
  <c r="B72" i="1" s="1"/>
  <c r="A72" i="1" s="1"/>
  <c r="B73" i="1" a="1"/>
  <c r="B73" i="1" s="1"/>
  <c r="A73" i="1" s="1"/>
  <c r="B74" i="1" a="1"/>
  <c r="B74" i="1" s="1"/>
  <c r="A74" i="1" s="1"/>
  <c r="B75" i="1" a="1"/>
  <c r="B75" i="1" s="1"/>
  <c r="A75" i="1" s="1"/>
  <c r="B76" i="1" a="1"/>
  <c r="B76" i="1" s="1"/>
  <c r="A76" i="1" s="1"/>
  <c r="B77" i="1" a="1"/>
  <c r="B77" i="1" s="1"/>
  <c r="A77" i="1" s="1"/>
  <c r="B78" i="1" a="1"/>
  <c r="B78" i="1" s="1"/>
  <c r="A78" i="1" s="1"/>
  <c r="B79" i="1" a="1"/>
  <c r="B79" i="1" s="1"/>
  <c r="A79" i="1" s="1"/>
  <c r="B80" i="1" a="1"/>
  <c r="B80" i="1" s="1"/>
  <c r="A80" i="1" s="1"/>
  <c r="B81" i="1" a="1"/>
  <c r="B81" i="1" s="1"/>
  <c r="A81" i="1" s="1"/>
  <c r="B82" i="1" a="1"/>
  <c r="B82" i="1" s="1"/>
  <c r="A82" i="1" s="1"/>
  <c r="B83" i="1" a="1"/>
  <c r="B83" i="1" s="1"/>
  <c r="A83" i="1" s="1"/>
  <c r="B84" i="1" a="1"/>
  <c r="B84" i="1" s="1"/>
  <c r="A84" i="1" s="1"/>
  <c r="B85" i="1" a="1"/>
  <c r="B85" i="1" s="1"/>
  <c r="A85" i="1" s="1"/>
  <c r="B86" i="1" a="1"/>
  <c r="B86" i="1" s="1"/>
  <c r="A86" i="1" s="1"/>
  <c r="B87" i="1" a="1"/>
  <c r="B87" i="1" s="1"/>
  <c r="A87" i="1" s="1"/>
  <c r="B88" i="1" a="1"/>
  <c r="B88" i="1" s="1"/>
  <c r="A88" i="1" s="1"/>
  <c r="B89" i="1" a="1"/>
  <c r="B89" i="1" s="1"/>
  <c r="A89" i="1" s="1"/>
  <c r="B90" i="1" a="1"/>
  <c r="B90" i="1" s="1"/>
  <c r="A90" i="1" s="1"/>
  <c r="B91" i="1" a="1"/>
  <c r="B91" i="1" s="1"/>
  <c r="A91" i="1" s="1"/>
  <c r="B92" i="1" a="1"/>
  <c r="B92" i="1" s="1"/>
  <c r="A92" i="1" s="1"/>
  <c r="B93" i="1" a="1"/>
  <c r="B93" i="1" s="1"/>
  <c r="A93" i="1" s="1"/>
  <c r="B94" i="1" a="1"/>
  <c r="B94" i="1" s="1"/>
  <c r="A94" i="1" s="1"/>
  <c r="B95" i="1" a="1"/>
  <c r="B95" i="1" s="1"/>
  <c r="A95" i="1" s="1"/>
  <c r="B96" i="1" a="1"/>
  <c r="B96" i="1" s="1"/>
  <c r="A96" i="1" s="1"/>
  <c r="B97" i="1" a="1"/>
  <c r="B97" i="1" s="1"/>
  <c r="A97" i="1" s="1"/>
  <c r="B98" i="1" a="1"/>
  <c r="B98" i="1" s="1"/>
  <c r="A98" i="1" s="1"/>
  <c r="B99" i="1" a="1"/>
  <c r="B99" i="1" s="1"/>
  <c r="A99" i="1" s="1"/>
  <c r="B100" i="1" a="1"/>
  <c r="B100" i="1" s="1"/>
  <c r="A100" i="1" s="1"/>
  <c r="B101" i="1" a="1"/>
  <c r="B101" i="1" s="1"/>
  <c r="A101" i="1" s="1"/>
  <c r="B102" i="1" a="1"/>
  <c r="B102" i="1" s="1"/>
  <c r="A102" i="1" s="1"/>
  <c r="B103" i="1" a="1"/>
  <c r="B103" i="1" s="1"/>
  <c r="A103" i="1" s="1"/>
  <c r="B104" i="1" a="1"/>
  <c r="B104" i="1" s="1"/>
  <c r="A104" i="1" s="1"/>
  <c r="B105" i="1" a="1"/>
  <c r="B105" i="1" s="1"/>
  <c r="A105" i="1" s="1"/>
  <c r="B106" i="1" a="1"/>
  <c r="B106" i="1" s="1"/>
  <c r="A106" i="1" s="1"/>
  <c r="B107" i="1" a="1"/>
  <c r="B107" i="1" s="1"/>
  <c r="A107" i="1" s="1"/>
  <c r="B108" i="1" a="1"/>
  <c r="B108" i="1" s="1"/>
  <c r="A108" i="1" s="1"/>
  <c r="B109" i="1" a="1"/>
  <c r="B109" i="1" s="1"/>
  <c r="A109" i="1" s="1"/>
  <c r="B110" i="1" a="1"/>
  <c r="B110" i="1" s="1"/>
  <c r="A110" i="1" s="1"/>
  <c r="B111" i="1" a="1"/>
  <c r="B111" i="1" s="1"/>
  <c r="A111" i="1" s="1"/>
  <c r="B112" i="1" a="1"/>
  <c r="B112" i="1" s="1"/>
  <c r="A112" i="1" s="1"/>
  <c r="B113" i="1" a="1"/>
  <c r="B113" i="1" s="1"/>
  <c r="A113" i="1" s="1"/>
  <c r="B114" i="1" a="1"/>
  <c r="B114" i="1" s="1"/>
  <c r="A114" i="1" s="1"/>
  <c r="B115" i="1" a="1"/>
  <c r="B115" i="1" s="1"/>
  <c r="A115" i="1" s="1"/>
  <c r="B116" i="1" a="1"/>
  <c r="B116" i="1" s="1"/>
  <c r="A116" i="1" s="1"/>
  <c r="B117" i="1" a="1"/>
  <c r="B117" i="1" s="1"/>
  <c r="A117" i="1" s="1"/>
  <c r="B118" i="1" a="1"/>
  <c r="B118" i="1" s="1"/>
  <c r="A118" i="1" s="1"/>
  <c r="B119" i="1" a="1"/>
  <c r="B119" i="1" s="1"/>
  <c r="A119" i="1" s="1"/>
  <c r="B120" i="1" a="1"/>
  <c r="B120" i="1" s="1"/>
  <c r="A120" i="1" s="1"/>
  <c r="B121" i="1" a="1"/>
  <c r="B121" i="1" s="1"/>
  <c r="A121" i="1" s="1"/>
  <c r="B122" i="1" a="1"/>
  <c r="B122" i="1" s="1"/>
  <c r="A122" i="1" s="1"/>
  <c r="B123" i="1" a="1"/>
  <c r="B123" i="1" s="1"/>
  <c r="A123" i="1" s="1"/>
  <c r="B124" i="1" a="1"/>
  <c r="B124" i="1" s="1"/>
  <c r="A124" i="1" s="1"/>
  <c r="B125" i="1" a="1"/>
  <c r="B125" i="1" s="1"/>
  <c r="A125" i="1" s="1"/>
  <c r="B126" i="1" a="1"/>
  <c r="B126" i="1" s="1"/>
  <c r="A126" i="1" s="1"/>
  <c r="B127" i="1" a="1"/>
  <c r="B127" i="1" s="1"/>
  <c r="A127" i="1" s="1"/>
  <c r="B128" i="1" a="1"/>
  <c r="B128" i="1" s="1"/>
  <c r="A128" i="1" s="1"/>
  <c r="B129" i="1" a="1"/>
  <c r="B129" i="1" s="1"/>
  <c r="A129" i="1" s="1"/>
  <c r="B130" i="1" a="1"/>
  <c r="B130" i="1" s="1"/>
  <c r="A130" i="1" s="1"/>
  <c r="B131" i="1" a="1"/>
  <c r="B131" i="1" s="1"/>
  <c r="A131" i="1" s="1"/>
  <c r="B132" i="1" a="1"/>
  <c r="B132" i="1" s="1"/>
  <c r="A132" i="1" s="1"/>
  <c r="B133" i="1" a="1"/>
  <c r="B133" i="1" s="1"/>
  <c r="A133" i="1" s="1"/>
  <c r="B134" i="1" a="1"/>
  <c r="B134" i="1" s="1"/>
  <c r="A134" i="1" s="1"/>
  <c r="B135" i="1" a="1"/>
  <c r="B135" i="1" s="1"/>
  <c r="A135" i="1" s="1"/>
  <c r="B136" i="1" a="1"/>
  <c r="B136" i="1" s="1"/>
  <c r="A136" i="1" s="1"/>
  <c r="B137" i="1" a="1"/>
  <c r="B137" i="1" s="1"/>
  <c r="A137" i="1" s="1"/>
  <c r="B138" i="1" a="1"/>
  <c r="B138" i="1" s="1"/>
  <c r="A138" i="1" s="1"/>
  <c r="B139" i="1" a="1"/>
  <c r="B139" i="1" s="1"/>
  <c r="A139" i="1" s="1"/>
  <c r="B140" i="1" a="1"/>
  <c r="B140" i="1" s="1"/>
  <c r="A140" i="1" s="1"/>
  <c r="B141" i="1" a="1"/>
  <c r="B141" i="1" s="1"/>
  <c r="A141" i="1" s="1"/>
  <c r="K132" i="1"/>
  <c r="L132" i="1" s="1"/>
  <c r="K133" i="1"/>
  <c r="N133" i="1" s="1"/>
  <c r="O133" i="1" s="1"/>
  <c r="K134" i="1"/>
  <c r="L134" i="1" s="1"/>
  <c r="K135" i="1"/>
  <c r="L135" i="1" s="1"/>
  <c r="K136" i="1"/>
  <c r="K137" i="1"/>
  <c r="K138" i="1"/>
  <c r="L138" i="1" s="1"/>
  <c r="K139" i="1"/>
  <c r="L139" i="1" s="1"/>
  <c r="K140" i="1"/>
  <c r="K141" i="1"/>
  <c r="K122" i="1"/>
  <c r="L122" i="1" s="1"/>
  <c r="K123" i="1"/>
  <c r="L123" i="1" s="1"/>
  <c r="K124" i="1"/>
  <c r="L124" i="1" s="1"/>
  <c r="K125" i="1"/>
  <c r="L125" i="1" s="1"/>
  <c r="K126" i="1"/>
  <c r="L126" i="1" s="1"/>
  <c r="K127" i="1"/>
  <c r="N127" i="1" s="1"/>
  <c r="O127" i="1" s="1"/>
  <c r="K128" i="1"/>
  <c r="L128" i="1" s="1"/>
  <c r="K129" i="1"/>
  <c r="L129" i="1" s="1"/>
  <c r="K130" i="1"/>
  <c r="K131" i="1"/>
  <c r="K112" i="1"/>
  <c r="L112" i="1" s="1"/>
  <c r="K113" i="1"/>
  <c r="K114" i="1"/>
  <c r="L114" i="1" s="1"/>
  <c r="K115" i="1"/>
  <c r="L115" i="1" s="1"/>
  <c r="K116" i="1"/>
  <c r="N116" i="1" s="1"/>
  <c r="K117" i="1"/>
  <c r="N117" i="1" s="1"/>
  <c r="K118" i="1"/>
  <c r="L118" i="1" s="1"/>
  <c r="K119" i="1"/>
  <c r="L119" i="1" s="1"/>
  <c r="K120" i="1"/>
  <c r="L120" i="1" s="1"/>
  <c r="K121" i="1"/>
  <c r="N121" i="1" s="1"/>
  <c r="O121" i="1" s="1"/>
  <c r="K102" i="1"/>
  <c r="K103" i="1"/>
  <c r="L103" i="1" s="1"/>
  <c r="K104" i="1"/>
  <c r="L104" i="1" s="1"/>
  <c r="K105" i="1"/>
  <c r="L105" i="1" s="1"/>
  <c r="K106" i="1"/>
  <c r="L106" i="1" s="1"/>
  <c r="K107" i="1"/>
  <c r="N107" i="1" s="1"/>
  <c r="O107" i="1" s="1"/>
  <c r="K108" i="1"/>
  <c r="L108" i="1" s="1"/>
  <c r="K109" i="1"/>
  <c r="L109" i="1" s="1"/>
  <c r="K110" i="1"/>
  <c r="L110" i="1" s="1"/>
  <c r="K111" i="1"/>
  <c r="K92" i="1"/>
  <c r="L92" i="1" s="1"/>
  <c r="K93" i="1"/>
  <c r="N93" i="1" s="1"/>
  <c r="O93" i="1" s="1"/>
  <c r="K94" i="1"/>
  <c r="N94" i="1" s="1"/>
  <c r="O94" i="1" s="1"/>
  <c r="K95" i="1"/>
  <c r="L95" i="1" s="1"/>
  <c r="K96" i="1"/>
  <c r="N96" i="1" s="1"/>
  <c r="O96" i="1" s="1"/>
  <c r="K97" i="1"/>
  <c r="N97" i="1" s="1"/>
  <c r="O97" i="1" s="1"/>
  <c r="K98" i="1"/>
  <c r="L98" i="1" s="1"/>
  <c r="K99" i="1"/>
  <c r="L99" i="1" s="1"/>
  <c r="K100" i="1"/>
  <c r="K101" i="1"/>
  <c r="K82" i="1"/>
  <c r="L82" i="1" s="1"/>
  <c r="K83" i="1"/>
  <c r="K84" i="1"/>
  <c r="N84" i="1" s="1"/>
  <c r="K85" i="1"/>
  <c r="L85" i="1" s="1"/>
  <c r="K86" i="1"/>
  <c r="L86" i="1" s="1"/>
  <c r="K87" i="1"/>
  <c r="N87" i="1" s="1"/>
  <c r="O87" i="1" s="1"/>
  <c r="K88" i="1"/>
  <c r="L88" i="1" s="1"/>
  <c r="K89" i="1"/>
  <c r="L89" i="1" s="1"/>
  <c r="K90" i="1"/>
  <c r="K91" i="1"/>
  <c r="N91" i="1" s="1"/>
  <c r="O91" i="1" s="1"/>
  <c r="K72" i="1"/>
  <c r="L72" i="1" s="1"/>
  <c r="K73" i="1"/>
  <c r="K74" i="1"/>
  <c r="L74" i="1" s="1"/>
  <c r="K75" i="1"/>
  <c r="L75" i="1" s="1"/>
  <c r="K76" i="1"/>
  <c r="L76" i="1" s="1"/>
  <c r="K77" i="1"/>
  <c r="L77" i="1" s="1"/>
  <c r="K78" i="1"/>
  <c r="L78" i="1" s="1"/>
  <c r="K79" i="1"/>
  <c r="L79" i="1" s="1"/>
  <c r="K80" i="1"/>
  <c r="K81" i="1"/>
  <c r="K62" i="1"/>
  <c r="K63" i="1"/>
  <c r="L63" i="1" s="1"/>
  <c r="K64" i="1"/>
  <c r="L64" i="1" s="1"/>
  <c r="K65" i="1"/>
  <c r="L65" i="1" s="1"/>
  <c r="K66" i="1"/>
  <c r="N66" i="1" s="1"/>
  <c r="O66" i="1" s="1"/>
  <c r="K67" i="1"/>
  <c r="L67" i="1" s="1"/>
  <c r="K68" i="1"/>
  <c r="L68" i="1" s="1"/>
  <c r="K69" i="1"/>
  <c r="L69" i="1" s="1"/>
  <c r="K70" i="1"/>
  <c r="K71" i="1"/>
  <c r="K52" i="1"/>
  <c r="L52" i="1" s="1"/>
  <c r="K53" i="1"/>
  <c r="N53" i="1" s="1"/>
  <c r="O53" i="1" s="1"/>
  <c r="K54" i="1"/>
  <c r="N54" i="1" s="1"/>
  <c r="O54" i="1" s="1"/>
  <c r="K55" i="1"/>
  <c r="L55" i="1" s="1"/>
  <c r="K56" i="1"/>
  <c r="N56" i="1" s="1"/>
  <c r="O56" i="1" s="1"/>
  <c r="K57" i="1"/>
  <c r="N57" i="1" s="1"/>
  <c r="O57" i="1" s="1"/>
  <c r="K58" i="1"/>
  <c r="L58" i="1" s="1"/>
  <c r="K59" i="1"/>
  <c r="L59" i="1" s="1"/>
  <c r="K60" i="1"/>
  <c r="L60" i="1" s="1"/>
  <c r="K61" i="1"/>
  <c r="K42" i="1"/>
  <c r="L42" i="1" s="1"/>
  <c r="K43" i="1"/>
  <c r="L43" i="1" s="1"/>
  <c r="K44" i="1"/>
  <c r="L44" i="1" s="1"/>
  <c r="K45" i="1"/>
  <c r="L45" i="1" s="1"/>
  <c r="K46" i="1"/>
  <c r="L46" i="1" s="1"/>
  <c r="K47" i="1"/>
  <c r="L47" i="1" s="1"/>
  <c r="K48" i="1"/>
  <c r="L48" i="1" s="1"/>
  <c r="K49" i="1"/>
  <c r="L49" i="1" s="1"/>
  <c r="K50" i="1"/>
  <c r="L50" i="1" s="1"/>
  <c r="K51" i="1"/>
  <c r="K32" i="1"/>
  <c r="K33" i="1"/>
  <c r="N33" i="1" s="1"/>
  <c r="O33" i="1" s="1"/>
  <c r="K34" i="1"/>
  <c r="N34" i="1" s="1"/>
  <c r="K35" i="1"/>
  <c r="L35" i="1" s="1"/>
  <c r="K36" i="1"/>
  <c r="N36" i="1" s="1"/>
  <c r="K37" i="1"/>
  <c r="N37" i="1" s="1"/>
  <c r="O37" i="1" s="1"/>
  <c r="K38" i="1"/>
  <c r="L38" i="1" s="1"/>
  <c r="K39" i="1"/>
  <c r="L39" i="1" s="1"/>
  <c r="K40" i="1"/>
  <c r="L40" i="1" s="1"/>
  <c r="K41" i="1"/>
  <c r="K22" i="1"/>
  <c r="K23" i="1"/>
  <c r="N23" i="1" s="1"/>
  <c r="O23" i="1" s="1"/>
  <c r="K24" i="1"/>
  <c r="N24" i="1" s="1"/>
  <c r="O24" i="1" s="1"/>
  <c r="K25" i="1"/>
  <c r="L25" i="1" s="1"/>
  <c r="K26" i="1"/>
  <c r="L26" i="1" s="1"/>
  <c r="K27" i="1"/>
  <c r="L27" i="1" s="1"/>
  <c r="K28" i="1"/>
  <c r="L28" i="1" s="1"/>
  <c r="K29" i="1"/>
  <c r="L29" i="1" s="1"/>
  <c r="K30" i="1"/>
  <c r="K31" i="1"/>
  <c r="K12" i="1"/>
  <c r="L12" i="1" s="1"/>
  <c r="K13" i="1"/>
  <c r="N13" i="1" s="1"/>
  <c r="O13" i="1" s="1"/>
  <c r="K14" i="1"/>
  <c r="L14" i="1" s="1"/>
  <c r="K15" i="1"/>
  <c r="L15" i="1" s="1"/>
  <c r="K16" i="1"/>
  <c r="L16" i="1" s="1"/>
  <c r="K17" i="1"/>
  <c r="L17" i="1" s="1"/>
  <c r="K18" i="1"/>
  <c r="L18" i="1" s="1"/>
  <c r="K19" i="1"/>
  <c r="L19" i="1" s="1"/>
  <c r="K20" i="1"/>
  <c r="K21" i="1"/>
  <c r="B3" i="7"/>
  <c r="K2" i="1"/>
  <c r="L2" i="1" s="1"/>
  <c r="K3" i="1"/>
  <c r="L3" i="1" s="1"/>
  <c r="K4" i="1"/>
  <c r="L4" i="1" s="1"/>
  <c r="K5" i="1"/>
  <c r="L5" i="1" s="1"/>
  <c r="K6" i="1"/>
  <c r="L6" i="1" s="1"/>
  <c r="K7" i="1"/>
  <c r="L7" i="1" s="1"/>
  <c r="K8" i="1"/>
  <c r="L8" i="1" s="1"/>
  <c r="K9" i="1"/>
  <c r="L9" i="1" s="1"/>
  <c r="K10" i="1"/>
  <c r="L10" i="1" s="1"/>
  <c r="K11" i="1"/>
  <c r="N11" i="1" s="1"/>
  <c r="O11" i="1" s="1"/>
  <c r="N27" i="1" l="1"/>
  <c r="O27" i="1" s="1"/>
  <c r="N47" i="1"/>
  <c r="O47" i="1" s="1"/>
  <c r="N7" i="1"/>
  <c r="O7" i="1" s="1"/>
  <c r="L96" i="1"/>
  <c r="L84" i="1"/>
  <c r="N124" i="1"/>
  <c r="O124" i="1" s="1"/>
  <c r="N104" i="1"/>
  <c r="O104" i="1" s="1"/>
  <c r="L24" i="1"/>
  <c r="N126" i="1"/>
  <c r="O126" i="1" s="1"/>
  <c r="N106" i="1"/>
  <c r="O106" i="1" s="1"/>
  <c r="N86" i="1"/>
  <c r="O86" i="1" s="1"/>
  <c r="N67" i="1"/>
  <c r="O67" i="1" s="1"/>
  <c r="N50" i="1"/>
  <c r="O50" i="1" s="1"/>
  <c r="N30" i="1"/>
  <c r="O30" i="1" s="1"/>
  <c r="N10" i="1"/>
  <c r="L133" i="1"/>
  <c r="L121" i="1"/>
  <c r="L97" i="1"/>
  <c r="L73" i="1"/>
  <c r="L61" i="1"/>
  <c r="L37" i="1"/>
  <c r="L13" i="1"/>
  <c r="L36" i="1"/>
  <c r="N123" i="1"/>
  <c r="O123" i="1" s="1"/>
  <c r="N103" i="1"/>
  <c r="O103" i="1" s="1"/>
  <c r="N83" i="1"/>
  <c r="O83" i="1" s="1"/>
  <c r="N64" i="1"/>
  <c r="O64" i="1" s="1"/>
  <c r="N46" i="1"/>
  <c r="O46" i="1" s="1"/>
  <c r="N26" i="1"/>
  <c r="O26" i="1" s="1"/>
  <c r="N6" i="1"/>
  <c r="O6" i="1" s="1"/>
  <c r="L131" i="1"/>
  <c r="L107" i="1"/>
  <c r="L83" i="1"/>
  <c r="L71" i="1"/>
  <c r="L23" i="1"/>
  <c r="L11" i="1"/>
  <c r="N141" i="1"/>
  <c r="O141" i="1" s="1"/>
  <c r="N101" i="1"/>
  <c r="O101" i="1" s="1"/>
  <c r="N81" i="1"/>
  <c r="O81" i="1" s="1"/>
  <c r="N63" i="1"/>
  <c r="O63" i="1" s="1"/>
  <c r="N44" i="1"/>
  <c r="O44" i="1" s="1"/>
  <c r="N4" i="1"/>
  <c r="O4" i="1" s="1"/>
  <c r="L130" i="1"/>
  <c r="L94" i="1"/>
  <c r="L70" i="1"/>
  <c r="L34" i="1"/>
  <c r="L22" i="1"/>
  <c r="N140" i="1"/>
  <c r="O140" i="1" s="1"/>
  <c r="N120" i="1"/>
  <c r="O120" i="1" s="1"/>
  <c r="N100" i="1"/>
  <c r="O100" i="1" s="1"/>
  <c r="N80" i="1"/>
  <c r="O80" i="1" s="1"/>
  <c r="N62" i="1"/>
  <c r="N43" i="1"/>
  <c r="O43" i="1" s="1"/>
  <c r="L141" i="1"/>
  <c r="L117" i="1"/>
  <c r="L93" i="1"/>
  <c r="L81" i="1"/>
  <c r="L57" i="1"/>
  <c r="L33" i="1"/>
  <c r="L21" i="1"/>
  <c r="N137" i="1"/>
  <c r="O137" i="1" s="1"/>
  <c r="N79" i="1"/>
  <c r="N61" i="1"/>
  <c r="O61" i="1" s="1"/>
  <c r="N41" i="1"/>
  <c r="O41" i="1" s="1"/>
  <c r="N21" i="1"/>
  <c r="O21" i="1" s="1"/>
  <c r="L140" i="1"/>
  <c r="L116" i="1"/>
  <c r="L80" i="1"/>
  <c r="L56" i="1"/>
  <c r="L32" i="1"/>
  <c r="L20" i="1"/>
  <c r="N136" i="1"/>
  <c r="O136" i="1" s="1"/>
  <c r="N77" i="1"/>
  <c r="O77" i="1" s="1"/>
  <c r="N60" i="1"/>
  <c r="O60" i="1" s="1"/>
  <c r="N40" i="1"/>
  <c r="O40" i="1" s="1"/>
  <c r="N20" i="1"/>
  <c r="O20" i="1" s="1"/>
  <c r="L127" i="1"/>
  <c r="L91" i="1"/>
  <c r="L31" i="1"/>
  <c r="N134" i="1"/>
  <c r="N114" i="1"/>
  <c r="N76" i="1"/>
  <c r="N17" i="1"/>
  <c r="O17" i="1" s="1"/>
  <c r="L102" i="1"/>
  <c r="L90" i="1"/>
  <c r="L66" i="1"/>
  <c r="L54" i="1"/>
  <c r="L30" i="1"/>
  <c r="N113" i="1"/>
  <c r="O113" i="1" s="1"/>
  <c r="N74" i="1"/>
  <c r="N16" i="1"/>
  <c r="O16" i="1" s="1"/>
  <c r="L137" i="1"/>
  <c r="L113" i="1"/>
  <c r="L101" i="1"/>
  <c r="L53" i="1"/>
  <c r="L41" i="1"/>
  <c r="N131" i="1"/>
  <c r="O131" i="1" s="1"/>
  <c r="N111" i="1"/>
  <c r="O111" i="1" s="1"/>
  <c r="N73" i="1"/>
  <c r="O73" i="1" s="1"/>
  <c r="N14" i="1"/>
  <c r="O14" i="1" s="1"/>
  <c r="L136" i="1"/>
  <c r="L100" i="1"/>
  <c r="N130" i="1"/>
  <c r="O130" i="1" s="1"/>
  <c r="N110" i="1"/>
  <c r="O110" i="1" s="1"/>
  <c r="N90" i="1"/>
  <c r="O90" i="1" s="1"/>
  <c r="N71" i="1"/>
  <c r="O71" i="1" s="1"/>
  <c r="L111" i="1"/>
  <c r="L87" i="1"/>
  <c r="L51" i="1"/>
  <c r="N70" i="1"/>
  <c r="N51" i="1"/>
  <c r="N31" i="1"/>
  <c r="O31" i="1" s="1"/>
  <c r="L62" i="1"/>
  <c r="N112" i="1"/>
  <c r="N45" i="1"/>
  <c r="N28" i="1"/>
  <c r="N122" i="1"/>
  <c r="N58" i="1"/>
  <c r="N12" i="1"/>
  <c r="N105" i="1"/>
  <c r="N88" i="1"/>
  <c r="N118" i="1"/>
  <c r="N55" i="1"/>
  <c r="N9" i="1"/>
  <c r="N69" i="1"/>
  <c r="N38" i="1"/>
  <c r="N22" i="1"/>
  <c r="N8" i="1"/>
  <c r="N98" i="1"/>
  <c r="N82" i="1"/>
  <c r="N52" i="1"/>
  <c r="N19" i="1"/>
  <c r="O117" i="1"/>
  <c r="F138" i="1"/>
  <c r="G138" i="1" s="1"/>
  <c r="F126" i="1"/>
  <c r="G126" i="1" s="1"/>
  <c r="P126" i="1" s="1"/>
  <c r="F114" i="1"/>
  <c r="G114" i="1" s="1"/>
  <c r="F102" i="1"/>
  <c r="G102" i="1" s="1"/>
  <c r="F90" i="1"/>
  <c r="G90" i="1" s="1"/>
  <c r="P90" i="1" s="1"/>
  <c r="F78" i="1"/>
  <c r="G78" i="1" s="1"/>
  <c r="F66" i="1"/>
  <c r="G66" i="1" s="1"/>
  <c r="P66" i="1" s="1"/>
  <c r="F54" i="1"/>
  <c r="G54" i="1" s="1"/>
  <c r="P54" i="1" s="1"/>
  <c r="F42" i="1"/>
  <c r="G42" i="1" s="1"/>
  <c r="F30" i="1"/>
  <c r="G30" i="1" s="1"/>
  <c r="P30" i="1" s="1"/>
  <c r="F18" i="1"/>
  <c r="G18" i="1" s="1"/>
  <c r="F6" i="1"/>
  <c r="G6" i="1" s="1"/>
  <c r="N132" i="1"/>
  <c r="N108" i="1"/>
  <c r="N72" i="1"/>
  <c r="N48" i="1"/>
  <c r="N119" i="1"/>
  <c r="N95" i="1"/>
  <c r="N59" i="1"/>
  <c r="N35" i="1"/>
  <c r="O116" i="1"/>
  <c r="O76" i="1"/>
  <c r="O36" i="1"/>
  <c r="F137" i="1"/>
  <c r="G137" i="1" s="1"/>
  <c r="P137" i="1" s="1"/>
  <c r="F125" i="1"/>
  <c r="G125" i="1" s="1"/>
  <c r="F113" i="1"/>
  <c r="G113" i="1" s="1"/>
  <c r="F101" i="1"/>
  <c r="G101" i="1" s="1"/>
  <c r="P101" i="1" s="1"/>
  <c r="F89" i="1"/>
  <c r="G89" i="1" s="1"/>
  <c r="F77" i="1"/>
  <c r="G77" i="1" s="1"/>
  <c r="P77" i="1" s="1"/>
  <c r="F65" i="1"/>
  <c r="G65" i="1" s="1"/>
  <c r="F53" i="1"/>
  <c r="G53" i="1" s="1"/>
  <c r="P53" i="1" s="1"/>
  <c r="F41" i="1"/>
  <c r="G41" i="1" s="1"/>
  <c r="P41" i="1" s="1"/>
  <c r="F29" i="1"/>
  <c r="G29" i="1" s="1"/>
  <c r="F17" i="1"/>
  <c r="G17" i="1" s="1"/>
  <c r="F5" i="1"/>
  <c r="G5" i="1" s="1"/>
  <c r="O134" i="1"/>
  <c r="O114" i="1"/>
  <c r="O74" i="1"/>
  <c r="O34" i="1"/>
  <c r="F136" i="1"/>
  <c r="G136" i="1" s="1"/>
  <c r="P136" i="1" s="1"/>
  <c r="F124" i="1"/>
  <c r="G124" i="1" s="1"/>
  <c r="P124" i="1" s="1"/>
  <c r="F112" i="1"/>
  <c r="G112" i="1" s="1"/>
  <c r="F100" i="1"/>
  <c r="G100" i="1" s="1"/>
  <c r="P100" i="1" s="1"/>
  <c r="F88" i="1"/>
  <c r="G88" i="1" s="1"/>
  <c r="F76" i="1"/>
  <c r="G76" i="1" s="1"/>
  <c r="F64" i="1"/>
  <c r="G64" i="1" s="1"/>
  <c r="P64" i="1" s="1"/>
  <c r="F52" i="1"/>
  <c r="G52" i="1" s="1"/>
  <c r="F40" i="1"/>
  <c r="G40" i="1" s="1"/>
  <c r="P40" i="1" s="1"/>
  <c r="F28" i="1"/>
  <c r="G28" i="1" s="1"/>
  <c r="O28" i="1" s="1"/>
  <c r="P28" i="1" s="1"/>
  <c r="F16" i="1"/>
  <c r="G16" i="1" s="1"/>
  <c r="F4" i="1"/>
  <c r="G4" i="1" s="1"/>
  <c r="P4" i="1" s="1"/>
  <c r="F135" i="1"/>
  <c r="G135" i="1" s="1"/>
  <c r="F123" i="1"/>
  <c r="G123" i="1" s="1"/>
  <c r="P123" i="1" s="1"/>
  <c r="F111" i="1"/>
  <c r="G111" i="1" s="1"/>
  <c r="P111" i="1" s="1"/>
  <c r="F99" i="1"/>
  <c r="G99" i="1" s="1"/>
  <c r="F87" i="1"/>
  <c r="G87" i="1" s="1"/>
  <c r="P87" i="1" s="1"/>
  <c r="F75" i="1"/>
  <c r="G75" i="1" s="1"/>
  <c r="F63" i="1"/>
  <c r="G63" i="1" s="1"/>
  <c r="P63" i="1" s="1"/>
  <c r="F51" i="1"/>
  <c r="G51" i="1" s="1"/>
  <c r="F39" i="1"/>
  <c r="G39" i="1" s="1"/>
  <c r="F27" i="1"/>
  <c r="G27" i="1" s="1"/>
  <c r="P27" i="1" s="1"/>
  <c r="F15" i="1"/>
  <c r="G15" i="1" s="1"/>
  <c r="F3" i="1"/>
  <c r="G3" i="1" s="1"/>
  <c r="N129" i="1"/>
  <c r="N128" i="1"/>
  <c r="N92" i="1"/>
  <c r="N68" i="1"/>
  <c r="N32" i="1"/>
  <c r="O51" i="1"/>
  <c r="P51" i="1" s="1"/>
  <c r="F134" i="1"/>
  <c r="G134" i="1" s="1"/>
  <c r="F122" i="1"/>
  <c r="G122" i="1" s="1"/>
  <c r="O122" i="1" s="1"/>
  <c r="P122" i="1" s="1"/>
  <c r="F110" i="1"/>
  <c r="G110" i="1" s="1"/>
  <c r="P110" i="1" s="1"/>
  <c r="F98" i="1"/>
  <c r="G98" i="1" s="1"/>
  <c r="F86" i="1"/>
  <c r="G86" i="1" s="1"/>
  <c r="F74" i="1"/>
  <c r="G74" i="1" s="1"/>
  <c r="F62" i="1"/>
  <c r="G62" i="1" s="1"/>
  <c r="O62" i="1" s="1"/>
  <c r="P62" i="1" s="1"/>
  <c r="F50" i="1"/>
  <c r="G50" i="1" s="1"/>
  <c r="P50" i="1" s="1"/>
  <c r="F38" i="1"/>
  <c r="G38" i="1" s="1"/>
  <c r="O38" i="1" s="1"/>
  <c r="P38" i="1" s="1"/>
  <c r="F26" i="1"/>
  <c r="G26" i="1" s="1"/>
  <c r="F14" i="1"/>
  <c r="G14" i="1" s="1"/>
  <c r="P14" i="1" s="1"/>
  <c r="F2" i="1"/>
  <c r="G2" i="1" s="1"/>
  <c r="N115" i="1"/>
  <c r="O70" i="1"/>
  <c r="O10" i="1"/>
  <c r="F133" i="1"/>
  <c r="G133" i="1" s="1"/>
  <c r="P133" i="1" s="1"/>
  <c r="F121" i="1"/>
  <c r="G121" i="1" s="1"/>
  <c r="P121" i="1" s="1"/>
  <c r="F109" i="1"/>
  <c r="G109" i="1" s="1"/>
  <c r="F97" i="1"/>
  <c r="G97" i="1" s="1"/>
  <c r="F85" i="1"/>
  <c r="G85" i="1" s="1"/>
  <c r="F73" i="1"/>
  <c r="G73" i="1" s="1"/>
  <c r="P73" i="1" s="1"/>
  <c r="F61" i="1"/>
  <c r="G61" i="1" s="1"/>
  <c r="P61" i="1" s="1"/>
  <c r="F49" i="1"/>
  <c r="G49" i="1" s="1"/>
  <c r="F37" i="1"/>
  <c r="G37" i="1" s="1"/>
  <c r="F25" i="1"/>
  <c r="G25" i="1" s="1"/>
  <c r="F13" i="1"/>
  <c r="G13" i="1" s="1"/>
  <c r="N138" i="1"/>
  <c r="N102" i="1"/>
  <c r="O102" i="1" s="1"/>
  <c r="P102" i="1" s="1"/>
  <c r="N78" i="1"/>
  <c r="O78" i="1" s="1"/>
  <c r="P78" i="1" s="1"/>
  <c r="N42" i="1"/>
  <c r="N18" i="1"/>
  <c r="O18" i="1" s="1"/>
  <c r="P18" i="1" s="1"/>
  <c r="F132" i="1"/>
  <c r="G132" i="1" s="1"/>
  <c r="F120" i="1"/>
  <c r="G120" i="1" s="1"/>
  <c r="P120" i="1" s="1"/>
  <c r="F108" i="1"/>
  <c r="G108" i="1" s="1"/>
  <c r="F96" i="1"/>
  <c r="G96" i="1" s="1"/>
  <c r="P96" i="1" s="1"/>
  <c r="F84" i="1"/>
  <c r="G84" i="1" s="1"/>
  <c r="F72" i="1"/>
  <c r="G72" i="1" s="1"/>
  <c r="F60" i="1"/>
  <c r="G60" i="1" s="1"/>
  <c r="P60" i="1" s="1"/>
  <c r="F48" i="1"/>
  <c r="G48" i="1" s="1"/>
  <c r="F36" i="1"/>
  <c r="G36" i="1" s="1"/>
  <c r="F24" i="1"/>
  <c r="G24" i="1" s="1"/>
  <c r="P24" i="1" s="1"/>
  <c r="F12" i="1"/>
  <c r="G12" i="1" s="1"/>
  <c r="N139" i="1"/>
  <c r="N125" i="1"/>
  <c r="N89" i="1"/>
  <c r="O89" i="1" s="1"/>
  <c r="P89" i="1" s="1"/>
  <c r="N65" i="1"/>
  <c r="O65" i="1" s="1"/>
  <c r="P65" i="1" s="1"/>
  <c r="N29" i="1"/>
  <c r="N5" i="1"/>
  <c r="O5" i="1" s="1"/>
  <c r="P5" i="1" s="1"/>
  <c r="F131" i="1"/>
  <c r="G131" i="1" s="1"/>
  <c r="P131" i="1" s="1"/>
  <c r="F119" i="1"/>
  <c r="G119" i="1" s="1"/>
  <c r="F107" i="1"/>
  <c r="G107" i="1" s="1"/>
  <c r="P107" i="1" s="1"/>
  <c r="F95" i="1"/>
  <c r="G95" i="1" s="1"/>
  <c r="F83" i="1"/>
  <c r="G83" i="1" s="1"/>
  <c r="P83" i="1" s="1"/>
  <c r="F71" i="1"/>
  <c r="G71" i="1" s="1"/>
  <c r="P71" i="1" s="1"/>
  <c r="F59" i="1"/>
  <c r="G59" i="1" s="1"/>
  <c r="F47" i="1"/>
  <c r="G47" i="1" s="1"/>
  <c r="P47" i="1" s="1"/>
  <c r="F35" i="1"/>
  <c r="G35" i="1" s="1"/>
  <c r="F23" i="1"/>
  <c r="G23" i="1" s="1"/>
  <c r="P23" i="1" s="1"/>
  <c r="F11" i="1"/>
  <c r="G11" i="1" s="1"/>
  <c r="P11" i="1" s="1"/>
  <c r="O84" i="1"/>
  <c r="P84" i="1" s="1"/>
  <c r="F130" i="1"/>
  <c r="G130" i="1" s="1"/>
  <c r="F118" i="1"/>
  <c r="G118" i="1" s="1"/>
  <c r="O118" i="1" s="1"/>
  <c r="P118" i="1" s="1"/>
  <c r="F106" i="1"/>
  <c r="G106" i="1" s="1"/>
  <c r="P106" i="1" s="1"/>
  <c r="F94" i="1"/>
  <c r="G94" i="1" s="1"/>
  <c r="P94" i="1" s="1"/>
  <c r="F82" i="1"/>
  <c r="G82" i="1" s="1"/>
  <c r="O82" i="1" s="1"/>
  <c r="P82" i="1" s="1"/>
  <c r="F70" i="1"/>
  <c r="G70" i="1" s="1"/>
  <c r="F58" i="1"/>
  <c r="G58" i="1" s="1"/>
  <c r="O58" i="1" s="1"/>
  <c r="P58" i="1" s="1"/>
  <c r="F46" i="1"/>
  <c r="G46" i="1" s="1"/>
  <c r="P46" i="1" s="1"/>
  <c r="F34" i="1"/>
  <c r="G34" i="1" s="1"/>
  <c r="F22" i="1"/>
  <c r="G22" i="1" s="1"/>
  <c r="F10" i="1"/>
  <c r="G10" i="1" s="1"/>
  <c r="N135" i="1"/>
  <c r="O135" i="1" s="1"/>
  <c r="P135" i="1" s="1"/>
  <c r="N99" i="1"/>
  <c r="N75" i="1"/>
  <c r="N39" i="1"/>
  <c r="O39" i="1" s="1"/>
  <c r="P39" i="1" s="1"/>
  <c r="N15" i="1"/>
  <c r="N2" i="1"/>
  <c r="F141" i="1"/>
  <c r="G141" i="1" s="1"/>
  <c r="P141" i="1" s="1"/>
  <c r="F129" i="1"/>
  <c r="G129" i="1" s="1"/>
  <c r="F117" i="1"/>
  <c r="G117" i="1" s="1"/>
  <c r="F105" i="1"/>
  <c r="G105" i="1" s="1"/>
  <c r="O105" i="1" s="1"/>
  <c r="P105" i="1" s="1"/>
  <c r="F93" i="1"/>
  <c r="G93" i="1" s="1"/>
  <c r="P93" i="1" s="1"/>
  <c r="F81" i="1"/>
  <c r="G81" i="1" s="1"/>
  <c r="P81" i="1" s="1"/>
  <c r="F69" i="1"/>
  <c r="G69" i="1" s="1"/>
  <c r="O69" i="1" s="1"/>
  <c r="P69" i="1" s="1"/>
  <c r="F57" i="1"/>
  <c r="G57" i="1" s="1"/>
  <c r="P57" i="1" s="1"/>
  <c r="F45" i="1"/>
  <c r="G45" i="1" s="1"/>
  <c r="O45" i="1" s="1"/>
  <c r="P45" i="1" s="1"/>
  <c r="F33" i="1"/>
  <c r="G33" i="1" s="1"/>
  <c r="P33" i="1" s="1"/>
  <c r="F21" i="1"/>
  <c r="G21" i="1" s="1"/>
  <c r="F9" i="1"/>
  <c r="G9" i="1" s="1"/>
  <c r="F140" i="1"/>
  <c r="G140" i="1" s="1"/>
  <c r="P140" i="1" s="1"/>
  <c r="F128" i="1"/>
  <c r="G128" i="1" s="1"/>
  <c r="F116" i="1"/>
  <c r="G116" i="1" s="1"/>
  <c r="F104" i="1"/>
  <c r="G104" i="1" s="1"/>
  <c r="P104" i="1" s="1"/>
  <c r="F92" i="1"/>
  <c r="G92" i="1" s="1"/>
  <c r="F80" i="1"/>
  <c r="G80" i="1" s="1"/>
  <c r="P80" i="1" s="1"/>
  <c r="F68" i="1"/>
  <c r="G68" i="1" s="1"/>
  <c r="F56" i="1"/>
  <c r="G56" i="1" s="1"/>
  <c r="P56" i="1" s="1"/>
  <c r="F44" i="1"/>
  <c r="G44" i="1" s="1"/>
  <c r="P44" i="1" s="1"/>
  <c r="F32" i="1"/>
  <c r="G32" i="1" s="1"/>
  <c r="F20" i="1"/>
  <c r="G20" i="1" s="1"/>
  <c r="P20" i="1" s="1"/>
  <c r="F8" i="1"/>
  <c r="G8" i="1" s="1"/>
  <c r="O8" i="1" s="1"/>
  <c r="P8" i="1" s="1"/>
  <c r="N109" i="1"/>
  <c r="N85" i="1"/>
  <c r="N49" i="1"/>
  <c r="N25" i="1"/>
  <c r="F139" i="1"/>
  <c r="G139" i="1" s="1"/>
  <c r="F127" i="1"/>
  <c r="G127" i="1" s="1"/>
  <c r="P127" i="1" s="1"/>
  <c r="F115" i="1"/>
  <c r="G115" i="1" s="1"/>
  <c r="F103" i="1"/>
  <c r="G103" i="1" s="1"/>
  <c r="P103" i="1" s="1"/>
  <c r="F91" i="1"/>
  <c r="G91" i="1" s="1"/>
  <c r="P91" i="1" s="1"/>
  <c r="F79" i="1"/>
  <c r="G79" i="1" s="1"/>
  <c r="O79" i="1" s="1"/>
  <c r="P79" i="1" s="1"/>
  <c r="F67" i="1"/>
  <c r="G67" i="1" s="1"/>
  <c r="P67" i="1" s="1"/>
  <c r="F55" i="1"/>
  <c r="G55" i="1" s="1"/>
  <c r="O55" i="1" s="1"/>
  <c r="P55" i="1" s="1"/>
  <c r="F43" i="1"/>
  <c r="G43" i="1" s="1"/>
  <c r="F31" i="1"/>
  <c r="G31" i="1" s="1"/>
  <c r="P31" i="1" s="1"/>
  <c r="F19" i="1"/>
  <c r="G19" i="1" s="1"/>
  <c r="O19" i="1" s="1"/>
  <c r="P19" i="1" s="1"/>
  <c r="F7" i="1"/>
  <c r="G7" i="1" s="1"/>
  <c r="P7" i="1" s="1"/>
  <c r="N3" i="1"/>
  <c r="O3" i="1" s="1"/>
  <c r="P97" i="1"/>
  <c r="P37" i="1"/>
  <c r="P13" i="1"/>
  <c r="F3" i="7"/>
  <c r="D3" i="7"/>
  <c r="O12" i="1" l="1"/>
  <c r="P12" i="1" s="1"/>
  <c r="P86" i="1"/>
  <c r="O52" i="1"/>
  <c r="P52" i="1" s="1"/>
  <c r="P17" i="1"/>
  <c r="O42" i="1"/>
  <c r="P42" i="1" s="1"/>
  <c r="P16" i="1"/>
  <c r="P74" i="1"/>
  <c r="P113" i="1"/>
  <c r="P134" i="1"/>
  <c r="P6" i="1"/>
  <c r="P117" i="1"/>
  <c r="O9" i="1"/>
  <c r="P9" i="1" s="1"/>
  <c r="P3" i="1"/>
  <c r="O22" i="1"/>
  <c r="P22" i="1" s="1"/>
  <c r="P34" i="1"/>
  <c r="O125" i="1"/>
  <c r="P125" i="1" s="1"/>
  <c r="P114" i="1"/>
  <c r="O88" i="1"/>
  <c r="P88" i="1" s="1"/>
  <c r="P43" i="1"/>
  <c r="P26" i="1"/>
  <c r="O112" i="1"/>
  <c r="P112" i="1" s="1"/>
  <c r="P21" i="1"/>
  <c r="O98" i="1"/>
  <c r="P98" i="1" s="1"/>
  <c r="P76" i="1"/>
  <c r="O35" i="1"/>
  <c r="P35" i="1" s="1"/>
  <c r="O68" i="1"/>
  <c r="P68" i="1" s="1"/>
  <c r="O59" i="1"/>
  <c r="P59" i="1" s="1"/>
  <c r="O85" i="1"/>
  <c r="P85" i="1" s="1"/>
  <c r="O92" i="1"/>
  <c r="P92" i="1" s="1"/>
  <c r="O2" i="1"/>
  <c r="P2" i="1" s="1"/>
  <c r="O15" i="1"/>
  <c r="P15" i="1" s="1"/>
  <c r="O139" i="1"/>
  <c r="P139" i="1" s="1"/>
  <c r="O75" i="1"/>
  <c r="P75" i="1" s="1"/>
  <c r="P10" i="1"/>
  <c r="P70" i="1"/>
  <c r="P116" i="1"/>
  <c r="P130" i="1"/>
  <c r="P36" i="1"/>
  <c r="O32" i="1"/>
  <c r="P32" i="1" s="1"/>
  <c r="O128" i="1"/>
  <c r="P128" i="1" s="1"/>
  <c r="O95" i="1"/>
  <c r="P95" i="1" s="1"/>
  <c r="O109" i="1"/>
  <c r="P109" i="1" s="1"/>
  <c r="O119" i="1"/>
  <c r="P119" i="1" s="1"/>
  <c r="O99" i="1"/>
  <c r="P99" i="1" s="1"/>
  <c r="O129" i="1"/>
  <c r="P129" i="1" s="1"/>
  <c r="O138" i="1"/>
  <c r="P138" i="1" s="1"/>
  <c r="O29" i="1"/>
  <c r="P29" i="1" s="1"/>
  <c r="O48" i="1"/>
  <c r="P48" i="1" s="1"/>
  <c r="O25" i="1"/>
  <c r="P25" i="1" s="1"/>
  <c r="O72" i="1"/>
  <c r="P72" i="1" s="1"/>
  <c r="O115" i="1"/>
  <c r="P115" i="1" s="1"/>
  <c r="O108" i="1"/>
  <c r="P108" i="1" s="1"/>
  <c r="O49" i="1"/>
  <c r="P49" i="1" s="1"/>
  <c r="O132" i="1"/>
  <c r="P132" i="1" s="1"/>
  <c r="H3" i="7"/>
  <c r="J3"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<sst xmlns="http://schemas.openxmlformats.org/spreadsheetml/2006/main" count="928" uniqueCount="62">
  <si>
    <t>Claim ID</t>
  </si>
  <si>
    <t>Country</t>
  </si>
  <si>
    <t>Purchase Date</t>
  </si>
  <si>
    <t>Invoice Attached</t>
  </si>
  <si>
    <t>Serial Number Valid</t>
  </si>
  <si>
    <t>Product Price (EUR)</t>
  </si>
  <si>
    <t>Germany</t>
  </si>
  <si>
    <t>France</t>
  </si>
  <si>
    <t>Galaxy Tab S10</t>
  </si>
  <si>
    <t>Italy</t>
  </si>
  <si>
    <t>Validation Status</t>
  </si>
  <si>
    <t>Row Labels</t>
  </si>
  <si>
    <t>Grand Total</t>
  </si>
  <si>
    <t>Product</t>
  </si>
  <si>
    <t>Cashback</t>
  </si>
  <si>
    <t>Galaxy S25</t>
  </si>
  <si>
    <t>Galaxy S25 Ultra</t>
  </si>
  <si>
    <t>Galaxy A56</t>
  </si>
  <si>
    <t>Galaxy A36</t>
  </si>
  <si>
    <t>Galaxy Buds3 Pro</t>
  </si>
  <si>
    <t>Galaxy Watch7</t>
  </si>
  <si>
    <t>Neo QLED TV</t>
  </si>
  <si>
    <t>Claim date</t>
  </si>
  <si>
    <t>Promotion Eligible</t>
  </si>
  <si>
    <t>Reject Reason</t>
  </si>
  <si>
    <t>Cashback Amount (EUR)</t>
  </si>
  <si>
    <t>Payment Status</t>
  </si>
  <si>
    <t>Payment Date</t>
  </si>
  <si>
    <t>Processing Days</t>
  </si>
  <si>
    <t>Approved</t>
  </si>
  <si>
    <t>Rejected</t>
  </si>
  <si>
    <t>Pending</t>
  </si>
  <si>
    <t>Paid</t>
  </si>
  <si>
    <t>Cancelled</t>
  </si>
  <si>
    <t>Yes/No</t>
  </si>
  <si>
    <t>Yes</t>
  </si>
  <si>
    <t>No</t>
  </si>
  <si>
    <t>Missing Invoice</t>
  </si>
  <si>
    <t>Invalid Serial Number</t>
  </si>
  <si>
    <t>Promotion Not Eligible</t>
  </si>
  <si>
    <t>Duplicate Claim</t>
  </si>
  <si>
    <t>Fraud Suspected</t>
  </si>
  <si>
    <t>Other</t>
  </si>
  <si>
    <t>Column2</t>
  </si>
  <si>
    <t>Column4</t>
  </si>
  <si>
    <t>Column6</t>
  </si>
  <si>
    <t>Count of Claim ID</t>
  </si>
  <si>
    <t>Sum of Cashback Amount (EUR)</t>
  </si>
  <si>
    <t>Average of Processing Days</t>
  </si>
  <si>
    <t>Total Claims</t>
  </si>
  <si>
    <t>Approved Claims</t>
  </si>
  <si>
    <t>Rejected Claims</t>
  </si>
  <si>
    <t>Total Cashback</t>
  </si>
  <si>
    <t>Avg Processing Days</t>
  </si>
  <si>
    <t>Samsung Cashback Operations Dashboard</t>
  </si>
  <si>
    <t>Sequence</t>
  </si>
  <si>
    <t>Channel</t>
  </si>
  <si>
    <t>Samsung Online Store</t>
  </si>
  <si>
    <t>Samsung Shop App</t>
  </si>
  <si>
    <t>Retail Partner</t>
  </si>
  <si>
    <t>Mobile Carrier</t>
  </si>
  <si>
    <t>Electronics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</si>
</sst>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20"/>
      <color theme="1"/>
      <name val="Aptos Narrow"/>
      <family val="2"/>
      <scheme val="minor"/>
    </font>
    <font>
      <b/>
      <sz val="18"/>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1">
    <xf numFmtId="0" fontId="0" fillId="0" borderId="0" xfId="0"/>
    <xf numFmtId="0" fontId="1" fillId="2" borderId="0" xfId="0" applyFont="1" applyFill="1"/>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0" borderId="0" xfId="0" applyFont="1" applyAlignment="1">
      <alignment horizontal="center"/>
    </xf>
    <xf numFmtId="0" fontId="2" fillId="0" borderId="0" xfId="0" applyFont="1" applyAlignment="1">
      <alignment horizontal="center"/>
    </xf>
    <xf numFmtId="0" fontId="1" fillId="2" borderId="1" xfId="0" applyFont="1" applyFill="1" applyBorder="1" applyAlignment="1">
      <alignment horizontal="center"/>
    </xf>
    <xf numFmtId="0" fontId="2" fillId="2" borderId="2" xfId="0" applyFont="1" applyFill="1" applyBorder="1" applyAlignment="1">
      <alignment horizontal="center"/>
    </xf>
    <xf numFmtId="0" fontId="3" fillId="0" borderId="0" xfId="0" applyFont="1" applyAlignment="1">
      <alignment horizontal="center"/>
    </xf>
  </cellXfs>
  <cellStyles count="1">
    <cellStyle name="Normal" xfId="0" builtinId="0"/>
  </cellStyles>
  <dxfs count="24">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ill>
        <patternFill>
          <bgColor rgb="FFFF0000"/>
        </patternFill>
      </fill>
    </dxf>
    <dxf>
      <numFmt numFmtId="0" formatCode="General"/>
    </dxf>
    <dxf>
      <font>
        <b/>
        <i val="0"/>
        <strike val="0"/>
        <condense val="0"/>
        <extend val="0"/>
        <outline val="0"/>
        <shadow val="0"/>
        <u val="none"/>
        <vertAlign val="baseline"/>
        <sz val="11"/>
        <color theme="1"/>
        <name val="Aptos Narrow"/>
        <family val="2"/>
        <scheme val="minor"/>
      </font>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fill>
        <patternFill patternType="solid">
          <fgColor indexed="64"/>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backup1).xlsx]Pivot_Data!PivotTable7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Claims by Validation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Pivot_Data!$B$1</c:f>
              <c:strCache>
                <c:ptCount val="1"/>
                <c:pt idx="0">
                  <c:v>Total</c:v>
                </c:pt>
              </c:strCache>
            </c:strRef>
          </c:tx>
          <c:spPr>
            <a:solidFill>
              <a:schemeClr val="accent1"/>
            </a:solidFill>
            <a:ln>
              <a:noFill/>
            </a:ln>
            <a:effectLst/>
          </c:spPr>
          <c:invertIfNegative val="0"/>
          <c:cat>
            <c:strRef>
              <c:f>Pivot_Data!$A$2:$A$4</c:f>
              <c:strCache>
                <c:ptCount val="2"/>
                <c:pt idx="0">
                  <c:v>Approved</c:v>
                </c:pt>
                <c:pt idx="1">
                  <c:v>Rejected</c:v>
                </c:pt>
              </c:strCache>
            </c:strRef>
          </c:cat>
          <c:val>
            <c:numRef>
              <c:f>Pivot_Data!$B$2:$B$4</c:f>
              <c:numCache>
                <c:formatCode>General</c:formatCode>
                <c:ptCount val="2"/>
                <c:pt idx="0">
                  <c:v>56</c:v>
                </c:pt>
                <c:pt idx="1">
                  <c:v>84</c:v>
                </c:pt>
              </c:numCache>
            </c:numRef>
          </c:val>
          <c:extLst>
            <c:ext xmlns:c16="http://schemas.microsoft.com/office/drawing/2014/chart" uri="{C3380CC4-5D6E-409C-BE32-E72D297353CC}">
              <c16:uniqueId val="{00000000-6250-43DE-84DE-C1A27753ABE2}"/>
            </c:ext>
          </c:extLst>
        </c:ser>
        <c:dLbls>
          <c:showLegendKey val="0"/>
          <c:showVal val="0"/>
          <c:showCatName val="0"/>
          <c:showSerName val="0"/>
          <c:showPercent val="0"/>
          <c:showBubbleSize val="0"/>
        </c:dLbls>
        <c:gapWidth val="219"/>
        <c:overlap val="-27"/>
        <c:axId val="621454560"/>
        <c:axId val="522413152"/>
      </c:barChart>
      <c:catAx>
        <c:axId val="62145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13152"/>
        <c:crosses val="autoZero"/>
        <c:auto val="1"/>
        <c:lblAlgn val="ctr"/>
        <c:lblOffset val="100"/>
        <c:noMultiLvlLbl val="0"/>
      </c:catAx>
      <c:valAx>
        <c:axId val="52241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45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backup1).xlsx]Pivot_Data!PivotTable8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Cashback Amount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Pivot_Data!$B$6</c:f>
              <c:strCache>
                <c:ptCount val="1"/>
                <c:pt idx="0">
                  <c:v>Total</c:v>
                </c:pt>
              </c:strCache>
            </c:strRef>
          </c:tx>
          <c:spPr>
            <a:solidFill>
              <a:schemeClr val="accent1"/>
            </a:solidFill>
            <a:ln>
              <a:noFill/>
            </a:ln>
            <a:effectLst/>
          </c:spPr>
          <c:invertIfNegative val="0"/>
          <c:cat>
            <c:strRef>
              <c:f>Pivot_Data!$A$7:$A$15</c:f>
              <c:strCache>
                <c:ptCount val="8"/>
                <c:pt idx="0">
                  <c:v>Galaxy A36</c:v>
                </c:pt>
                <c:pt idx="1">
                  <c:v>Galaxy A56</c:v>
                </c:pt>
                <c:pt idx="2">
                  <c:v>Galaxy Buds3 Pro</c:v>
                </c:pt>
                <c:pt idx="3">
                  <c:v>Galaxy S25</c:v>
                </c:pt>
                <c:pt idx="4">
                  <c:v>Galaxy S25 Ultra</c:v>
                </c:pt>
                <c:pt idx="5">
                  <c:v>Galaxy Tab S10</c:v>
                </c:pt>
                <c:pt idx="6">
                  <c:v>Galaxy Watch7</c:v>
                </c:pt>
                <c:pt idx="7">
                  <c:v>Neo QLED TV</c:v>
                </c:pt>
              </c:strCache>
            </c:strRef>
          </c:cat>
          <c:val>
            <c:numRef>
              <c:f>Pivot_Data!$B$7:$B$15</c:f>
              <c:numCache>
                <c:formatCode>General</c:formatCode>
                <c:ptCount val="8"/>
                <c:pt idx="0">
                  <c:v>480</c:v>
                </c:pt>
                <c:pt idx="1">
                  <c:v>640</c:v>
                </c:pt>
                <c:pt idx="2">
                  <c:v>300</c:v>
                </c:pt>
                <c:pt idx="3">
                  <c:v>1050</c:v>
                </c:pt>
                <c:pt idx="4">
                  <c:v>1200</c:v>
                </c:pt>
                <c:pt idx="5">
                  <c:v>840</c:v>
                </c:pt>
                <c:pt idx="6">
                  <c:v>490</c:v>
                </c:pt>
                <c:pt idx="7">
                  <c:v>1750</c:v>
                </c:pt>
              </c:numCache>
            </c:numRef>
          </c:val>
          <c:extLst>
            <c:ext xmlns:c16="http://schemas.microsoft.com/office/drawing/2014/chart" uri="{C3380CC4-5D6E-409C-BE32-E72D297353CC}">
              <c16:uniqueId val="{00000000-E32F-412C-8F7E-888DCF44F320}"/>
            </c:ext>
          </c:extLst>
        </c:ser>
        <c:dLbls>
          <c:showLegendKey val="0"/>
          <c:showVal val="0"/>
          <c:showCatName val="0"/>
          <c:showSerName val="0"/>
          <c:showPercent val="0"/>
          <c:showBubbleSize val="0"/>
        </c:dLbls>
        <c:gapWidth val="182"/>
        <c:axId val="621454096"/>
        <c:axId val="522411712"/>
      </c:barChart>
      <c:catAx>
        <c:axId val="62145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11712"/>
        <c:crosses val="autoZero"/>
        <c:auto val="1"/>
        <c:lblAlgn val="ctr"/>
        <c:lblOffset val="100"/>
        <c:noMultiLvlLbl val="0"/>
      </c:catAx>
      <c:valAx>
        <c:axId val="52241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45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backup1).xlsx]Pivot_Data!PivotTable9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Pivot_Data!$B$17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DF-48E0-975C-9643F79B92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DF-48E0-975C-9643F79B9288}"/>
              </c:ext>
            </c:extLst>
          </c:dPt>
          <c:cat>
            <c:strRef>
              <c:f>Pivot_Data!$A$18:$A$20</c:f>
              <c:strCache>
                <c:ptCount val="2"/>
                <c:pt idx="0">
                  <c:v>Cancelled</c:v>
                </c:pt>
                <c:pt idx="1">
                  <c:v>Paid</c:v>
                </c:pt>
              </c:strCache>
            </c:strRef>
          </c:cat>
          <c:val>
            <c:numRef>
              <c:f>Pivot_Data!$B$18:$B$20</c:f>
              <c:numCache>
                <c:formatCode>General</c:formatCode>
                <c:ptCount val="2"/>
                <c:pt idx="0">
                  <c:v>84</c:v>
                </c:pt>
                <c:pt idx="1">
                  <c:v>56</c:v>
                </c:pt>
              </c:numCache>
            </c:numRef>
          </c:val>
          <c:extLst>
            <c:ext xmlns:c16="http://schemas.microsoft.com/office/drawing/2014/chart" uri="{C3380CC4-5D6E-409C-BE32-E72D297353CC}">
              <c16:uniqueId val="{00000000-FA2A-4317-BCAE-2A84D057D63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backup1).xlsx]Pivot_Data!PivotTable10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Processing Time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Pivot_Data!$B$22</c:f>
              <c:strCache>
                <c:ptCount val="1"/>
                <c:pt idx="0">
                  <c:v>Total</c:v>
                </c:pt>
              </c:strCache>
            </c:strRef>
          </c:tx>
          <c:spPr>
            <a:solidFill>
              <a:schemeClr val="accent1"/>
            </a:solidFill>
            <a:ln>
              <a:noFill/>
            </a:ln>
            <a:effectLst/>
          </c:spPr>
          <c:invertIfNegative val="0"/>
          <c:cat>
            <c:strRef>
              <c:f>Pivot_Data!$A$23:$A$31</c:f>
              <c:strCache>
                <c:ptCount val="8"/>
                <c:pt idx="0">
                  <c:v>Galaxy A36</c:v>
                </c:pt>
                <c:pt idx="1">
                  <c:v>Galaxy A56</c:v>
                </c:pt>
                <c:pt idx="2">
                  <c:v>Galaxy Buds3 Pro</c:v>
                </c:pt>
                <c:pt idx="3">
                  <c:v>Galaxy S25</c:v>
                </c:pt>
                <c:pt idx="4">
                  <c:v>Galaxy S25 Ultra</c:v>
                </c:pt>
                <c:pt idx="5">
                  <c:v>Galaxy Tab S10</c:v>
                </c:pt>
                <c:pt idx="6">
                  <c:v>Galaxy Watch7</c:v>
                </c:pt>
                <c:pt idx="7">
                  <c:v>Neo QLED TV</c:v>
                </c:pt>
              </c:strCache>
            </c:strRef>
          </c:cat>
          <c:val>
            <c:numRef>
              <c:f>Pivot_Data!$B$23:$B$31</c:f>
              <c:numCache>
                <c:formatCode>General</c:formatCode>
                <c:ptCount val="8"/>
                <c:pt idx="0">
                  <c:v>4</c:v>
                </c:pt>
                <c:pt idx="1">
                  <c:v>5.5</c:v>
                </c:pt>
                <c:pt idx="2">
                  <c:v>5</c:v>
                </c:pt>
                <c:pt idx="3">
                  <c:v>4.7142857142857144</c:v>
                </c:pt>
                <c:pt idx="4">
                  <c:v>4</c:v>
                </c:pt>
                <c:pt idx="5">
                  <c:v>4.7142857142857144</c:v>
                </c:pt>
                <c:pt idx="6">
                  <c:v>4</c:v>
                </c:pt>
                <c:pt idx="7">
                  <c:v>4</c:v>
                </c:pt>
              </c:numCache>
            </c:numRef>
          </c:val>
          <c:extLst>
            <c:ext xmlns:c16="http://schemas.microsoft.com/office/drawing/2014/chart" uri="{C3380CC4-5D6E-409C-BE32-E72D297353CC}">
              <c16:uniqueId val="{00000000-C808-4DAA-A911-ACE862454D9F}"/>
            </c:ext>
          </c:extLst>
        </c:ser>
        <c:dLbls>
          <c:showLegendKey val="0"/>
          <c:showVal val="0"/>
          <c:showCatName val="0"/>
          <c:showSerName val="0"/>
          <c:showPercent val="0"/>
          <c:showBubbleSize val="0"/>
        </c:dLbls>
        <c:gapWidth val="219"/>
        <c:overlap val="-27"/>
        <c:axId val="569353744"/>
        <c:axId val="385396800"/>
      </c:barChart>
      <c:catAx>
        <c:axId val="56935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96800"/>
        <c:crosses val="autoZero"/>
        <c:auto val="1"/>
        <c:lblAlgn val="ctr"/>
        <c:lblOffset val="100"/>
        <c:noMultiLvlLbl val="0"/>
      </c:catAx>
      <c:valAx>
        <c:axId val="38539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5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1587</xdr:colOff>
      <xdr:row>11</xdr:row>
      <xdr:rowOff>6348</xdr:rowOff>
    </xdr:from>
    <xdr:to>
      <xdr:col>7</xdr:col>
      <xdr:colOff>0</xdr:colOff>
      <xdr:row>26</xdr:row>
      <xdr:rowOff>0</xdr:rowOff>
    </xdr:to>
    <xdr:graphicFrame macro="">
      <xdr:nvGraphicFramePr>
        <xdr:cNvPr id="2" name="Chart 1">
          <a:extLst>
            <a:ext uri="{FF2B5EF4-FFF2-40B4-BE49-F238E27FC236}">
              <a16:creationId xmlns:a16="http://schemas.microsoft.com/office/drawing/2014/main" id="{E0452FCA-F0ED-FE53-97D0-7FB217F06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xdr:row>
      <xdr:rowOff>179387</xdr:rowOff>
    </xdr:from>
    <xdr:to>
      <xdr:col>15</xdr:col>
      <xdr:colOff>603250</xdr:colOff>
      <xdr:row>26</xdr:row>
      <xdr:rowOff>0</xdr:rowOff>
    </xdr:to>
    <xdr:graphicFrame macro="">
      <xdr:nvGraphicFramePr>
        <xdr:cNvPr id="3" name="Chart 2">
          <a:extLst>
            <a:ext uri="{FF2B5EF4-FFF2-40B4-BE49-F238E27FC236}">
              <a16:creationId xmlns:a16="http://schemas.microsoft.com/office/drawing/2014/main" id="{444567F5-DB6E-A72C-E52E-30CA12399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1588</xdr:colOff>
      <xdr:row>28</xdr:row>
      <xdr:rowOff>0</xdr:rowOff>
    </xdr:from>
    <xdr:to>
      <xdr:col>7</xdr:col>
      <xdr:colOff>0</xdr:colOff>
      <xdr:row>43</xdr:row>
      <xdr:rowOff>11113</xdr:rowOff>
    </xdr:to>
    <xdr:graphicFrame macro="">
      <xdr:nvGraphicFramePr>
        <xdr:cNvPr id="4" name="Chart 3">
          <a:extLst>
            <a:ext uri="{FF2B5EF4-FFF2-40B4-BE49-F238E27FC236}">
              <a16:creationId xmlns:a16="http://schemas.microsoft.com/office/drawing/2014/main" id="{BEDFF352-8136-1976-08EA-AB1711447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1587</xdr:colOff>
      <xdr:row>28</xdr:row>
      <xdr:rowOff>0</xdr:rowOff>
    </xdr:from>
    <xdr:to>
      <xdr:col>16</xdr:col>
      <xdr:colOff>0</xdr:colOff>
      <xdr:row>43</xdr:row>
      <xdr:rowOff>1588</xdr:rowOff>
    </xdr:to>
    <xdr:graphicFrame macro="">
      <xdr:nvGraphicFramePr>
        <xdr:cNvPr id="5" name="Chart 4">
          <a:extLst>
            <a:ext uri="{FF2B5EF4-FFF2-40B4-BE49-F238E27FC236}">
              <a16:creationId xmlns:a16="http://schemas.microsoft.com/office/drawing/2014/main" id="{2FE3F279-D7F5-C1CA-2C6B-0E77558C0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4762</xdr:colOff>
      <xdr:row>10</xdr:row>
      <xdr:rowOff>190499</xdr:rowOff>
    </xdr:from>
    <xdr:to>
      <xdr:col>22</xdr:col>
      <xdr:colOff>0</xdr:colOff>
      <xdr:row>25</xdr:row>
      <xdr:rowOff>180974</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A2338FB7-D900-41C1-9C96-A658D6FC26F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130337" y="2371724"/>
              <a:ext cx="1824038" cy="2847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3175</xdr:colOff>
      <xdr:row>28</xdr:row>
      <xdr:rowOff>7937</xdr:rowOff>
    </xdr:from>
    <xdr:to>
      <xdr:col>22</xdr:col>
      <xdr:colOff>0</xdr:colOff>
      <xdr:row>43</xdr:row>
      <xdr:rowOff>0</xdr:rowOff>
    </xdr:to>
    <mc:AlternateContent xmlns:mc="http://schemas.openxmlformats.org/markup-compatibility/2006" xmlns:a14="http://schemas.microsoft.com/office/drawing/2010/main">
      <mc:Choice Requires="a14">
        <xdr:graphicFrame macro="">
          <xdr:nvGraphicFramePr>
            <xdr:cNvPr id="7" name="Validation Status">
              <a:extLst>
                <a:ext uri="{FF2B5EF4-FFF2-40B4-BE49-F238E27FC236}">
                  <a16:creationId xmlns:a16="http://schemas.microsoft.com/office/drawing/2014/main" id="{80302DFA-5CEF-4FB1-929A-8067BBC6E9CA}"/>
                </a:ext>
              </a:extLst>
            </xdr:cNvPr>
            <xdr:cNvGraphicFramePr/>
          </xdr:nvGraphicFramePr>
          <xdr:xfrm>
            <a:off x="0" y="0"/>
            <a:ext cx="0" cy="0"/>
          </xdr:xfrm>
          <a:graphic>
            <a:graphicData uri="http://schemas.microsoft.com/office/drawing/2010/slicer">
              <sle:slicer xmlns:sle="http://schemas.microsoft.com/office/drawing/2010/slicer" name="Validation Status"/>
            </a:graphicData>
          </a:graphic>
        </xdr:graphicFrame>
      </mc:Choice>
      <mc:Fallback xmlns="">
        <xdr:sp macro="" textlink="">
          <xdr:nvSpPr>
            <xdr:cNvPr id="0" name=""/>
            <xdr:cNvSpPr>
              <a:spLocks noTextEdit="1"/>
            </xdr:cNvSpPr>
          </xdr:nvSpPr>
          <xdr:spPr>
            <a:xfrm>
              <a:off x="14128750" y="5618162"/>
              <a:ext cx="1825625" cy="2849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45</xdr:row>
      <xdr:rowOff>0</xdr:rowOff>
    </xdr:from>
    <xdr:to>
      <xdr:col>22</xdr:col>
      <xdr:colOff>0</xdr:colOff>
      <xdr:row>60</xdr:row>
      <xdr:rowOff>9525</xdr:rowOff>
    </xdr:to>
    <mc:AlternateContent xmlns:mc="http://schemas.openxmlformats.org/markup-compatibility/2006" xmlns:a14="http://schemas.microsoft.com/office/drawing/2010/main">
      <mc:Choice Requires="a14">
        <xdr:graphicFrame macro="">
          <xdr:nvGraphicFramePr>
            <xdr:cNvPr id="8" name="Payment Status">
              <a:extLst>
                <a:ext uri="{FF2B5EF4-FFF2-40B4-BE49-F238E27FC236}">
                  <a16:creationId xmlns:a16="http://schemas.microsoft.com/office/drawing/2014/main" id="{68096A7A-4FD1-4386-80B4-2963651CDB4A}"/>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mlns="">
        <xdr:sp macro="" textlink="">
          <xdr:nvSpPr>
            <xdr:cNvPr id="0" name=""/>
            <xdr:cNvSpPr>
              <a:spLocks noTextEdit="1"/>
            </xdr:cNvSpPr>
          </xdr:nvSpPr>
          <xdr:spPr>
            <a:xfrm>
              <a:off x="14125575" y="8848725"/>
              <a:ext cx="1828800" cy="2867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i Niculin" refreshedDate="46232.979959259261" createdVersion="8" refreshedVersion="8" minRefreshableVersion="3" recordCount="140" xr:uid="{86D066BB-FB94-4002-996E-F7376270B42C}">
  <cacheSource type="worksheet">
    <worksheetSource name="Claims"/>
  </cacheSource>
  <cacheFields count="18">
    <cacheField name="Claim ID" numFmtId="0">
      <sharedItems/>
    </cacheField>
    <cacheField name="Sequence" numFmtId="0">
      <sharedItems containsSemiMixedTypes="0" containsString="0" containsNumber="1" containsInteger="1" minValue="1" maxValue="140"/>
    </cacheField>
    <cacheField name="Country" numFmtId="0">
      <sharedItems/>
    </cacheField>
    <cacheField name="Channel" numFmtId="0">
      <sharedItems/>
    </cacheField>
    <cacheField name="Product" numFmtId="0">
      <sharedItems count="8">
        <s v="Galaxy S25"/>
        <s v="Galaxy S25 Ultra"/>
        <s v="Galaxy A56"/>
        <s v="Galaxy A36"/>
        <s v="Galaxy Buds3 Pro"/>
        <s v="Galaxy Watch7"/>
        <s v="Galaxy Tab S10"/>
        <s v="Neo QLED TV"/>
      </sharedItems>
    </cacheField>
    <cacheField name="Purchase Date" numFmtId="14">
      <sharedItems containsSemiMixedTypes="0" containsNonDate="0" containsDate="1" containsString="0" minDate="2026-05-01T00:00:00" maxDate="2026-07-01T00:00:00"/>
    </cacheField>
    <cacheField name="Claim date" numFmtId="14">
      <sharedItems containsSemiMixedTypes="0" containsNonDate="0" containsDate="1" containsString="0" minDate="2026-05-03T00:00:00" maxDate="2026-07-11T00:00:00"/>
    </cacheField>
    <cacheField name="Invoice Attached" numFmtId="0">
      <sharedItems/>
    </cacheField>
    <cacheField name="Serial Number Valid" numFmtId="0">
      <sharedItems/>
    </cacheField>
    <cacheField name="Promotion Eligible" numFmtId="0">
      <sharedItems/>
    </cacheField>
    <cacheField name="Validation Status" numFmtId="0">
      <sharedItems count="2">
        <s v="Approved"/>
        <s v="Rejected"/>
      </sharedItems>
    </cacheField>
    <cacheField name="Reject Reason" numFmtId="0">
      <sharedItems containsNonDate="0" containsString="0" containsBlank="1"/>
    </cacheField>
    <cacheField name="Cashback Amount (EUR)" numFmtId="0">
      <sharedItems containsSemiMixedTypes="0" containsString="0" containsNumber="1" containsInteger="1" minValue="0" maxValue="250"/>
    </cacheField>
    <cacheField name="Product Price (EUR)" numFmtId="0">
      <sharedItems containsString="0" containsBlank="1" containsNumber="1" containsInteger="1" minValue="200" maxValue="1100"/>
    </cacheField>
    <cacheField name="Payment Status" numFmtId="0">
      <sharedItems count="2">
        <s v="Paid"/>
        <s v="Cancelled"/>
      </sharedItems>
    </cacheField>
    <cacheField name="Payment Date" numFmtId="14">
      <sharedItems containsDate="1" containsMixedTypes="1" minDate="2026-05-06T00:00:00" maxDate="2026-07-16T00:00:00"/>
    </cacheField>
    <cacheField name="Processing Days" numFmtId="0">
      <sharedItems containsMixedTypes="1" containsNumber="1" containsInteger="1" minValue="2" maxValue="7"/>
    </cacheField>
    <cacheField name="Validation Check" numFmtId="0">
      <sharedItems/>
    </cacheField>
  </cacheFields>
  <extLst>
    <ext xmlns:x14="http://schemas.microsoft.com/office/spreadsheetml/2009/9/main" uri="{725AE2AE-9491-48be-B2B4-4EB974FC3084}">
      <x14:pivotCacheDefinition pivotCacheId="3496140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s v="CLM-0001"/>
    <n v="1"/>
    <s v="Germany"/>
    <s v="Samsung Online Store"/>
    <x v="0"/>
    <d v="2026-05-08T00:00:00"/>
    <d v="2026-05-12T00:00:00"/>
    <s v="Yes"/>
    <s v="Yes"/>
    <s v="Yes"/>
    <x v="0"/>
    <m/>
    <n v="150"/>
    <n v="1000"/>
    <x v="0"/>
    <d v="2026-05-15T00:00:00"/>
    <n v="3"/>
    <s v="OK"/>
  </r>
  <r>
    <s v="CLM-0002"/>
    <n v="2"/>
    <s v="France"/>
    <s v="Samsung Shop App"/>
    <x v="1"/>
    <d v="2026-05-15T00:00:00"/>
    <d v="2026-05-22T00:00:00"/>
    <s v="No"/>
    <s v="Yes"/>
    <s v="No"/>
    <x v="1"/>
    <m/>
    <n v="0"/>
    <n v="600"/>
    <x v="1"/>
    <s v=""/>
    <s v=""/>
    <s v="Missing Reject Reason"/>
  </r>
  <r>
    <s v="CLM-0003"/>
    <n v="3"/>
    <s v="Italy"/>
    <s v="Retail Partner"/>
    <x v="2"/>
    <d v="2026-05-22T00:00:00"/>
    <d v="2026-06-01T00:00:00"/>
    <s v="Yes"/>
    <s v="No"/>
    <s v="Yes"/>
    <x v="1"/>
    <m/>
    <n v="0"/>
    <n v="1100"/>
    <x v="1"/>
    <s v=""/>
    <s v=""/>
    <s v="Missing Reject Reason"/>
  </r>
  <r>
    <s v="CLM-0004"/>
    <n v="4"/>
    <s v="Germany"/>
    <s v="Mobile Carrier"/>
    <x v="3"/>
    <d v="2026-05-29T00:00:00"/>
    <d v="2026-06-11T00:00:00"/>
    <s v="Yes"/>
    <s v="Yes"/>
    <s v="Yes"/>
    <x v="0"/>
    <m/>
    <n v="60"/>
    <n v="1000"/>
    <x v="0"/>
    <d v="2026-06-17T00:00:00"/>
    <n v="6"/>
    <s v="OK"/>
  </r>
  <r>
    <s v="CLM-0005"/>
    <n v="5"/>
    <s v="France"/>
    <s v="Electronics Store"/>
    <x v="4"/>
    <d v="2026-06-05T00:00:00"/>
    <d v="2026-06-07T00:00:00"/>
    <s v="No"/>
    <s v="Yes"/>
    <s v="Yes"/>
    <x v="1"/>
    <m/>
    <n v="0"/>
    <n v="200"/>
    <x v="1"/>
    <s v=""/>
    <s v=""/>
    <s v="Missing Reject Reason"/>
  </r>
  <r>
    <s v="CLM-0006"/>
    <n v="6"/>
    <s v="Italy"/>
    <s v="Samsung Online Store"/>
    <x v="5"/>
    <d v="2026-06-12T00:00:00"/>
    <d v="2026-06-17T00:00:00"/>
    <s v="Yes"/>
    <s v="No"/>
    <s v="No"/>
    <x v="1"/>
    <m/>
    <n v="0"/>
    <n v="650"/>
    <x v="1"/>
    <s v=""/>
    <s v=""/>
    <s v="Missing Reject Reason"/>
  </r>
  <r>
    <s v="CLM-0007"/>
    <n v="7"/>
    <s v="Germany"/>
    <s v="Samsung Shop App"/>
    <x v="6"/>
    <d v="2026-06-19T00:00:00"/>
    <d v="2026-06-27T00:00:00"/>
    <s v="Yes"/>
    <s v="Yes"/>
    <s v="Yes"/>
    <x v="0"/>
    <m/>
    <n v="120"/>
    <n v="1050"/>
    <x v="0"/>
    <d v="2026-06-30T00:00:00"/>
    <n v="3"/>
    <s v="OK"/>
  </r>
  <r>
    <s v="CLM-0008"/>
    <n v="8"/>
    <s v="France"/>
    <s v="Retail Partner"/>
    <x v="7"/>
    <d v="2026-06-26T00:00:00"/>
    <d v="2026-07-07T00:00:00"/>
    <s v="Yes"/>
    <s v="Yes"/>
    <s v="Yes"/>
    <x v="0"/>
    <m/>
    <n v="250"/>
    <n v="220"/>
    <x v="0"/>
    <d v="2026-07-11T00:00:00"/>
    <n v="4"/>
    <s v="OK"/>
  </r>
  <r>
    <s v="CLM-0009"/>
    <n v="9"/>
    <s v="Italy"/>
    <s v="Mobile Carrier"/>
    <x v="0"/>
    <d v="2026-05-03T00:00:00"/>
    <d v="2026-05-17T00:00:00"/>
    <s v="No"/>
    <s v="Yes"/>
    <s v="No"/>
    <x v="1"/>
    <m/>
    <n v="0"/>
    <n v="1000"/>
    <x v="1"/>
    <s v=""/>
    <s v=""/>
    <s v="Missing Reject Reason"/>
  </r>
  <r>
    <s v="CLM-0010"/>
    <n v="10"/>
    <s v="Germany"/>
    <s v="Electronics Store"/>
    <x v="1"/>
    <d v="2026-05-10T00:00:00"/>
    <d v="2026-05-13T00:00:00"/>
    <s v="No"/>
    <s v="No"/>
    <s v="No"/>
    <x v="1"/>
    <m/>
    <n v="0"/>
    <n v="600"/>
    <x v="1"/>
    <s v=""/>
    <s v=""/>
    <s v="Missing Reject Reason"/>
  </r>
  <r>
    <s v="CLM-0011"/>
    <n v="11"/>
    <s v="Germany"/>
    <s v="Samsung Online Store"/>
    <x v="2"/>
    <d v="2026-05-17T00:00:00"/>
    <d v="2026-05-23T00:00:00"/>
    <s v="Yes"/>
    <s v="Yes"/>
    <s v="Yes"/>
    <x v="0"/>
    <m/>
    <n v="80"/>
    <m/>
    <x v="0"/>
    <d v="2026-05-30T00:00:00"/>
    <n v="7"/>
    <s v="OK"/>
  </r>
  <r>
    <s v="CLM-0012"/>
    <n v="12"/>
    <s v="France"/>
    <s v="Samsung Shop App"/>
    <x v="3"/>
    <d v="2026-05-24T00:00:00"/>
    <d v="2026-06-02T00:00:00"/>
    <s v="No"/>
    <s v="Yes"/>
    <s v="No"/>
    <x v="1"/>
    <m/>
    <n v="0"/>
    <m/>
    <x v="1"/>
    <s v=""/>
    <s v=""/>
    <s v="Missing Reject Reason"/>
  </r>
  <r>
    <s v="CLM-0013"/>
    <n v="13"/>
    <s v="Italy"/>
    <s v="Retail Partner"/>
    <x v="4"/>
    <d v="2026-05-31T00:00:00"/>
    <d v="2026-06-12T00:00:00"/>
    <s v="Yes"/>
    <s v="No"/>
    <s v="Yes"/>
    <x v="1"/>
    <m/>
    <n v="0"/>
    <m/>
    <x v="1"/>
    <s v=""/>
    <s v=""/>
    <s v="Missing Reject Reason"/>
  </r>
  <r>
    <s v="CLM-0014"/>
    <n v="14"/>
    <s v="Germany"/>
    <s v="Mobile Carrier"/>
    <x v="5"/>
    <d v="2026-06-07T00:00:00"/>
    <d v="2026-06-08T00:00:00"/>
    <s v="Yes"/>
    <s v="Yes"/>
    <s v="Yes"/>
    <x v="0"/>
    <m/>
    <n v="70"/>
    <m/>
    <x v="0"/>
    <d v="2026-06-12T00:00:00"/>
    <n v="4"/>
    <s v="OK"/>
  </r>
  <r>
    <s v="CLM-0015"/>
    <n v="15"/>
    <s v="France"/>
    <s v="Electronics Store"/>
    <x v="6"/>
    <d v="2026-06-14T00:00:00"/>
    <d v="2026-06-18T00:00:00"/>
    <s v="No"/>
    <s v="Yes"/>
    <s v="Yes"/>
    <x v="1"/>
    <m/>
    <n v="0"/>
    <m/>
    <x v="1"/>
    <s v=""/>
    <s v=""/>
    <s v="Missing Reject Reason"/>
  </r>
  <r>
    <s v="CLM-0016"/>
    <n v="16"/>
    <s v="Italy"/>
    <s v="Samsung Online Store"/>
    <x v="7"/>
    <d v="2026-06-21T00:00:00"/>
    <d v="2026-06-28T00:00:00"/>
    <s v="Yes"/>
    <s v="No"/>
    <s v="No"/>
    <x v="1"/>
    <m/>
    <n v="0"/>
    <m/>
    <x v="1"/>
    <s v=""/>
    <s v=""/>
    <s v="Missing Reject Reason"/>
  </r>
  <r>
    <s v="CLM-0017"/>
    <n v="17"/>
    <s v="Germany"/>
    <s v="Samsung Shop App"/>
    <x v="0"/>
    <d v="2026-06-28T00:00:00"/>
    <d v="2026-07-08T00:00:00"/>
    <s v="Yes"/>
    <s v="Yes"/>
    <s v="Yes"/>
    <x v="0"/>
    <m/>
    <n v="150"/>
    <m/>
    <x v="0"/>
    <d v="2026-07-15T00:00:00"/>
    <n v="7"/>
    <s v="OK"/>
  </r>
  <r>
    <s v="CLM-0018"/>
    <n v="18"/>
    <s v="France"/>
    <s v="Retail Partner"/>
    <x v="1"/>
    <d v="2026-05-05T00:00:00"/>
    <d v="2026-05-18T00:00:00"/>
    <s v="Yes"/>
    <s v="Yes"/>
    <s v="Yes"/>
    <x v="0"/>
    <m/>
    <n v="200"/>
    <m/>
    <x v="0"/>
    <d v="2026-05-20T00:00:00"/>
    <n v="2"/>
    <s v="OK"/>
  </r>
  <r>
    <s v="CLM-0019"/>
    <n v="19"/>
    <s v="Italy"/>
    <s v="Mobile Carrier"/>
    <x v="2"/>
    <d v="2026-05-12T00:00:00"/>
    <d v="2026-05-14T00:00:00"/>
    <s v="No"/>
    <s v="Yes"/>
    <s v="No"/>
    <x v="1"/>
    <m/>
    <n v="0"/>
    <m/>
    <x v="1"/>
    <s v=""/>
    <s v=""/>
    <s v="Missing Reject Reason"/>
  </r>
  <r>
    <s v="CLM-0020"/>
    <n v="20"/>
    <s v="Germany"/>
    <s v="Electronics Store"/>
    <x v="3"/>
    <d v="2026-05-19T00:00:00"/>
    <d v="2026-05-24T00:00:00"/>
    <s v="No"/>
    <s v="No"/>
    <s v="No"/>
    <x v="1"/>
    <m/>
    <n v="0"/>
    <m/>
    <x v="1"/>
    <s v=""/>
    <s v=""/>
    <s v="Missing Reject Reason"/>
  </r>
  <r>
    <s v="CLM-0021"/>
    <n v="21"/>
    <s v="Germany"/>
    <s v="Samsung Online Store"/>
    <x v="4"/>
    <d v="2026-05-26T00:00:00"/>
    <d v="2026-06-03T00:00:00"/>
    <s v="Yes"/>
    <s v="Yes"/>
    <s v="Yes"/>
    <x v="0"/>
    <m/>
    <n v="50"/>
    <m/>
    <x v="0"/>
    <d v="2026-06-08T00:00:00"/>
    <n v="5"/>
    <s v="OK"/>
  </r>
  <r>
    <s v="CLM-0022"/>
    <n v="22"/>
    <s v="France"/>
    <s v="Samsung Shop App"/>
    <x v="5"/>
    <d v="2026-06-02T00:00:00"/>
    <d v="2026-06-13T00:00:00"/>
    <s v="No"/>
    <s v="Yes"/>
    <s v="No"/>
    <x v="1"/>
    <m/>
    <n v="0"/>
    <m/>
    <x v="1"/>
    <s v=""/>
    <s v=""/>
    <s v="Missing Reject Reason"/>
  </r>
  <r>
    <s v="CLM-0023"/>
    <n v="23"/>
    <s v="Italy"/>
    <s v="Retail Partner"/>
    <x v="6"/>
    <d v="2026-06-09T00:00:00"/>
    <d v="2026-06-23T00:00:00"/>
    <s v="Yes"/>
    <s v="No"/>
    <s v="Yes"/>
    <x v="1"/>
    <m/>
    <n v="0"/>
    <m/>
    <x v="1"/>
    <s v=""/>
    <s v=""/>
    <s v="Missing Reject Reason"/>
  </r>
  <r>
    <s v="CLM-0024"/>
    <n v="24"/>
    <s v="Germany"/>
    <s v="Mobile Carrier"/>
    <x v="7"/>
    <d v="2026-06-16T00:00:00"/>
    <d v="2026-06-19T00:00:00"/>
    <s v="Yes"/>
    <s v="Yes"/>
    <s v="Yes"/>
    <x v="0"/>
    <m/>
    <n v="250"/>
    <m/>
    <x v="0"/>
    <d v="2026-06-21T00:00:00"/>
    <n v="2"/>
    <s v="OK"/>
  </r>
  <r>
    <s v="CLM-0025"/>
    <n v="25"/>
    <s v="France"/>
    <s v="Electronics Store"/>
    <x v="0"/>
    <d v="2026-06-23T00:00:00"/>
    <d v="2026-06-29T00:00:00"/>
    <s v="No"/>
    <s v="Yes"/>
    <s v="Yes"/>
    <x v="1"/>
    <m/>
    <n v="0"/>
    <m/>
    <x v="1"/>
    <s v=""/>
    <s v=""/>
    <s v="Missing Reject Reason"/>
  </r>
  <r>
    <s v="CLM-0026"/>
    <n v="26"/>
    <s v="Italy"/>
    <s v="Samsung Online Store"/>
    <x v="1"/>
    <d v="2026-06-30T00:00:00"/>
    <d v="2026-07-09T00:00:00"/>
    <s v="Yes"/>
    <s v="No"/>
    <s v="No"/>
    <x v="1"/>
    <m/>
    <n v="0"/>
    <m/>
    <x v="1"/>
    <s v=""/>
    <s v=""/>
    <s v="Missing Reject Reason"/>
  </r>
  <r>
    <s v="CLM-0027"/>
    <n v="27"/>
    <s v="Germany"/>
    <s v="Samsung Shop App"/>
    <x v="2"/>
    <d v="2026-05-07T00:00:00"/>
    <d v="2026-05-19T00:00:00"/>
    <s v="Yes"/>
    <s v="Yes"/>
    <s v="Yes"/>
    <x v="0"/>
    <m/>
    <n v="80"/>
    <m/>
    <x v="0"/>
    <d v="2026-05-24T00:00:00"/>
    <n v="5"/>
    <s v="OK"/>
  </r>
  <r>
    <s v="CLM-0028"/>
    <n v="28"/>
    <s v="France"/>
    <s v="Retail Partner"/>
    <x v="3"/>
    <d v="2026-05-14T00:00:00"/>
    <d v="2026-05-15T00:00:00"/>
    <s v="Yes"/>
    <s v="Yes"/>
    <s v="Yes"/>
    <x v="0"/>
    <m/>
    <n v="60"/>
    <m/>
    <x v="0"/>
    <d v="2026-05-21T00:00:00"/>
    <n v="6"/>
    <s v="OK"/>
  </r>
  <r>
    <s v="CLM-0029"/>
    <n v="29"/>
    <s v="Italy"/>
    <s v="Mobile Carrier"/>
    <x v="4"/>
    <d v="2026-05-21T00:00:00"/>
    <d v="2026-05-25T00:00:00"/>
    <s v="No"/>
    <s v="Yes"/>
    <s v="No"/>
    <x v="1"/>
    <m/>
    <n v="0"/>
    <m/>
    <x v="1"/>
    <s v=""/>
    <s v=""/>
    <s v="Missing Reject Reason"/>
  </r>
  <r>
    <s v="CLM-0030"/>
    <n v="30"/>
    <s v="Germany"/>
    <s v="Electronics Store"/>
    <x v="5"/>
    <d v="2026-05-28T00:00:00"/>
    <d v="2026-06-04T00:00:00"/>
    <s v="No"/>
    <s v="No"/>
    <s v="No"/>
    <x v="1"/>
    <m/>
    <n v="0"/>
    <m/>
    <x v="1"/>
    <s v=""/>
    <s v=""/>
    <s v="Missing Reject Reason"/>
  </r>
  <r>
    <s v="CLM-0031"/>
    <n v="31"/>
    <s v="Germany"/>
    <s v="Samsung Online Store"/>
    <x v="6"/>
    <d v="2026-06-04T00:00:00"/>
    <d v="2026-06-14T00:00:00"/>
    <s v="Yes"/>
    <s v="Yes"/>
    <s v="Yes"/>
    <x v="0"/>
    <m/>
    <n v="120"/>
    <m/>
    <x v="0"/>
    <d v="2026-06-17T00:00:00"/>
    <n v="3"/>
    <s v="OK"/>
  </r>
  <r>
    <s v="CLM-0032"/>
    <n v="32"/>
    <s v="France"/>
    <s v="Samsung Shop App"/>
    <x v="7"/>
    <d v="2026-06-11T00:00:00"/>
    <d v="2026-06-24T00:00:00"/>
    <s v="No"/>
    <s v="Yes"/>
    <s v="No"/>
    <x v="1"/>
    <m/>
    <n v="0"/>
    <m/>
    <x v="1"/>
    <s v=""/>
    <s v=""/>
    <s v="Missing Reject Reason"/>
  </r>
  <r>
    <s v="CLM-0033"/>
    <n v="33"/>
    <s v="Italy"/>
    <s v="Retail Partner"/>
    <x v="0"/>
    <d v="2026-06-18T00:00:00"/>
    <d v="2026-06-20T00:00:00"/>
    <s v="Yes"/>
    <s v="No"/>
    <s v="Yes"/>
    <x v="1"/>
    <m/>
    <n v="0"/>
    <m/>
    <x v="1"/>
    <s v=""/>
    <s v=""/>
    <s v="Missing Reject Reason"/>
  </r>
  <r>
    <s v="CLM-0034"/>
    <n v="34"/>
    <s v="Germany"/>
    <s v="Mobile Carrier"/>
    <x v="1"/>
    <d v="2026-06-25T00:00:00"/>
    <d v="2026-06-30T00:00:00"/>
    <s v="Yes"/>
    <s v="Yes"/>
    <s v="Yes"/>
    <x v="0"/>
    <m/>
    <n v="200"/>
    <m/>
    <x v="0"/>
    <d v="2026-07-06T00:00:00"/>
    <n v="6"/>
    <s v="OK"/>
  </r>
  <r>
    <s v="CLM-0035"/>
    <n v="35"/>
    <s v="France"/>
    <s v="Electronics Store"/>
    <x v="2"/>
    <d v="2026-05-02T00:00:00"/>
    <d v="2026-05-10T00:00:00"/>
    <s v="No"/>
    <s v="Yes"/>
    <s v="Yes"/>
    <x v="1"/>
    <m/>
    <n v="0"/>
    <m/>
    <x v="1"/>
    <s v=""/>
    <s v=""/>
    <s v="Missing Reject Reason"/>
  </r>
  <r>
    <s v="CLM-0036"/>
    <n v="36"/>
    <s v="Italy"/>
    <s v="Samsung Online Store"/>
    <x v="3"/>
    <d v="2026-05-09T00:00:00"/>
    <d v="2026-05-20T00:00:00"/>
    <s v="Yes"/>
    <s v="No"/>
    <s v="No"/>
    <x v="1"/>
    <m/>
    <n v="0"/>
    <m/>
    <x v="1"/>
    <s v=""/>
    <s v=""/>
    <s v="Missing Reject Reason"/>
  </r>
  <r>
    <s v="CLM-0037"/>
    <n v="37"/>
    <s v="Germany"/>
    <s v="Samsung Shop App"/>
    <x v="4"/>
    <d v="2026-05-16T00:00:00"/>
    <d v="2026-05-30T00:00:00"/>
    <s v="Yes"/>
    <s v="Yes"/>
    <s v="Yes"/>
    <x v="0"/>
    <m/>
    <n v="50"/>
    <m/>
    <x v="0"/>
    <d v="2026-06-02T00:00:00"/>
    <n v="3"/>
    <s v="OK"/>
  </r>
  <r>
    <s v="CLM-0038"/>
    <n v="38"/>
    <s v="France"/>
    <s v="Retail Partner"/>
    <x v="5"/>
    <d v="2026-05-23T00:00:00"/>
    <d v="2026-05-26T00:00:00"/>
    <s v="Yes"/>
    <s v="Yes"/>
    <s v="Yes"/>
    <x v="0"/>
    <m/>
    <n v="70"/>
    <m/>
    <x v="0"/>
    <d v="2026-05-30T00:00:00"/>
    <n v="4"/>
    <s v="OK"/>
  </r>
  <r>
    <s v="CLM-0039"/>
    <n v="39"/>
    <s v="Italy"/>
    <s v="Mobile Carrier"/>
    <x v="6"/>
    <d v="2026-05-30T00:00:00"/>
    <d v="2026-06-05T00:00:00"/>
    <s v="No"/>
    <s v="Yes"/>
    <s v="No"/>
    <x v="1"/>
    <m/>
    <n v="0"/>
    <m/>
    <x v="1"/>
    <s v=""/>
    <s v=""/>
    <s v="Missing Reject Reason"/>
  </r>
  <r>
    <s v="CLM-0040"/>
    <n v="40"/>
    <s v="Germany"/>
    <s v="Electronics Store"/>
    <x v="7"/>
    <d v="2026-06-06T00:00:00"/>
    <d v="2026-06-15T00:00:00"/>
    <s v="No"/>
    <s v="No"/>
    <s v="No"/>
    <x v="1"/>
    <m/>
    <n v="0"/>
    <m/>
    <x v="1"/>
    <s v=""/>
    <s v=""/>
    <s v="Missing Reject Reason"/>
  </r>
  <r>
    <s v="CLM-0041"/>
    <n v="41"/>
    <s v="Germany"/>
    <s v="Samsung Online Store"/>
    <x v="0"/>
    <d v="2026-06-13T00:00:00"/>
    <d v="2026-06-25T00:00:00"/>
    <s v="Yes"/>
    <s v="Yes"/>
    <s v="Yes"/>
    <x v="0"/>
    <m/>
    <n v="150"/>
    <m/>
    <x v="0"/>
    <d v="2026-07-02T00:00:00"/>
    <n v="7"/>
    <s v="OK"/>
  </r>
  <r>
    <s v="CLM-0042"/>
    <n v="42"/>
    <s v="France"/>
    <s v="Samsung Shop App"/>
    <x v="1"/>
    <d v="2026-06-20T00:00:00"/>
    <d v="2026-06-21T00:00:00"/>
    <s v="No"/>
    <s v="Yes"/>
    <s v="No"/>
    <x v="1"/>
    <m/>
    <n v="0"/>
    <m/>
    <x v="1"/>
    <s v=""/>
    <s v=""/>
    <s v="Missing Reject Reason"/>
  </r>
  <r>
    <s v="CLM-0043"/>
    <n v="43"/>
    <s v="Italy"/>
    <s v="Retail Partner"/>
    <x v="2"/>
    <d v="2026-06-27T00:00:00"/>
    <d v="2026-07-01T00:00:00"/>
    <s v="Yes"/>
    <s v="No"/>
    <s v="Yes"/>
    <x v="1"/>
    <m/>
    <n v="0"/>
    <m/>
    <x v="1"/>
    <s v=""/>
    <s v=""/>
    <s v="Missing Reject Reason"/>
  </r>
  <r>
    <s v="CLM-0044"/>
    <n v="44"/>
    <s v="Germany"/>
    <s v="Mobile Carrier"/>
    <x v="3"/>
    <d v="2026-05-04T00:00:00"/>
    <d v="2026-05-11T00:00:00"/>
    <s v="Yes"/>
    <s v="Yes"/>
    <s v="Yes"/>
    <x v="0"/>
    <m/>
    <n v="60"/>
    <m/>
    <x v="0"/>
    <d v="2026-05-15T00:00:00"/>
    <n v="4"/>
    <s v="OK"/>
  </r>
  <r>
    <s v="CLM-0045"/>
    <n v="45"/>
    <s v="France"/>
    <s v="Electronics Store"/>
    <x v="4"/>
    <d v="2026-05-11T00:00:00"/>
    <d v="2026-05-21T00:00:00"/>
    <s v="No"/>
    <s v="Yes"/>
    <s v="Yes"/>
    <x v="1"/>
    <m/>
    <n v="0"/>
    <m/>
    <x v="1"/>
    <s v=""/>
    <s v=""/>
    <s v="Missing Reject Reason"/>
  </r>
  <r>
    <s v="CLM-0046"/>
    <n v="46"/>
    <s v="Italy"/>
    <s v="Samsung Online Store"/>
    <x v="5"/>
    <d v="2026-05-18T00:00:00"/>
    <d v="2026-05-31T00:00:00"/>
    <s v="Yes"/>
    <s v="No"/>
    <s v="No"/>
    <x v="1"/>
    <m/>
    <n v="0"/>
    <m/>
    <x v="1"/>
    <s v=""/>
    <s v=""/>
    <s v="Missing Reject Reason"/>
  </r>
  <r>
    <s v="CLM-0047"/>
    <n v="47"/>
    <s v="Germany"/>
    <s v="Samsung Shop App"/>
    <x v="6"/>
    <d v="2026-05-25T00:00:00"/>
    <d v="2026-05-27T00:00:00"/>
    <s v="Yes"/>
    <s v="Yes"/>
    <s v="Yes"/>
    <x v="0"/>
    <m/>
    <n v="120"/>
    <m/>
    <x v="0"/>
    <d v="2026-06-03T00:00:00"/>
    <n v="7"/>
    <s v="OK"/>
  </r>
  <r>
    <s v="CLM-0048"/>
    <n v="48"/>
    <s v="France"/>
    <s v="Retail Partner"/>
    <x v="7"/>
    <d v="2026-06-01T00:00:00"/>
    <d v="2026-06-06T00:00:00"/>
    <s v="Yes"/>
    <s v="Yes"/>
    <s v="Yes"/>
    <x v="0"/>
    <m/>
    <n v="250"/>
    <m/>
    <x v="0"/>
    <d v="2026-06-08T00:00:00"/>
    <n v="2"/>
    <s v="OK"/>
  </r>
  <r>
    <s v="CLM-0049"/>
    <n v="49"/>
    <s v="Italy"/>
    <s v="Mobile Carrier"/>
    <x v="0"/>
    <d v="2026-06-08T00:00:00"/>
    <d v="2026-06-16T00:00:00"/>
    <s v="No"/>
    <s v="Yes"/>
    <s v="No"/>
    <x v="1"/>
    <m/>
    <n v="0"/>
    <m/>
    <x v="1"/>
    <s v=""/>
    <s v=""/>
    <s v="Missing Reject Reason"/>
  </r>
  <r>
    <s v="CLM-0050"/>
    <n v="50"/>
    <s v="Germany"/>
    <s v="Electronics Store"/>
    <x v="1"/>
    <d v="2026-06-15T00:00:00"/>
    <d v="2026-06-26T00:00:00"/>
    <s v="No"/>
    <s v="No"/>
    <s v="No"/>
    <x v="1"/>
    <m/>
    <n v="0"/>
    <m/>
    <x v="1"/>
    <s v=""/>
    <s v=""/>
    <s v="Missing Reject Reason"/>
  </r>
  <r>
    <s v="CLM-0051"/>
    <n v="51"/>
    <s v="Germany"/>
    <s v="Samsung Online Store"/>
    <x v="2"/>
    <d v="2026-06-22T00:00:00"/>
    <d v="2026-07-06T00:00:00"/>
    <s v="Yes"/>
    <s v="Yes"/>
    <s v="Yes"/>
    <x v="0"/>
    <m/>
    <n v="80"/>
    <m/>
    <x v="0"/>
    <d v="2026-07-11T00:00:00"/>
    <n v="5"/>
    <s v="OK"/>
  </r>
  <r>
    <s v="CLM-0052"/>
    <n v="52"/>
    <s v="France"/>
    <s v="Samsung Shop App"/>
    <x v="3"/>
    <d v="2026-06-29T00:00:00"/>
    <d v="2026-07-02T00:00:00"/>
    <s v="No"/>
    <s v="Yes"/>
    <s v="No"/>
    <x v="1"/>
    <m/>
    <n v="0"/>
    <m/>
    <x v="1"/>
    <s v=""/>
    <s v=""/>
    <s v="Missing Reject Reason"/>
  </r>
  <r>
    <s v="CLM-0053"/>
    <n v="53"/>
    <s v="Italy"/>
    <s v="Retail Partner"/>
    <x v="4"/>
    <d v="2026-05-06T00:00:00"/>
    <d v="2026-05-12T00:00:00"/>
    <s v="Yes"/>
    <s v="No"/>
    <s v="Yes"/>
    <x v="1"/>
    <m/>
    <n v="0"/>
    <m/>
    <x v="1"/>
    <s v=""/>
    <s v=""/>
    <s v="Missing Reject Reason"/>
  </r>
  <r>
    <s v="CLM-0054"/>
    <n v="54"/>
    <s v="Germany"/>
    <s v="Mobile Carrier"/>
    <x v="5"/>
    <d v="2026-05-13T00:00:00"/>
    <d v="2026-05-22T00:00:00"/>
    <s v="Yes"/>
    <s v="Yes"/>
    <s v="Yes"/>
    <x v="0"/>
    <m/>
    <n v="70"/>
    <m/>
    <x v="0"/>
    <d v="2026-05-24T00:00:00"/>
    <n v="2"/>
    <s v="OK"/>
  </r>
  <r>
    <s v="CLM-0055"/>
    <n v="55"/>
    <s v="France"/>
    <s v="Electronics Store"/>
    <x v="6"/>
    <d v="2026-05-20T00:00:00"/>
    <d v="2026-06-01T00:00:00"/>
    <s v="No"/>
    <s v="Yes"/>
    <s v="Yes"/>
    <x v="1"/>
    <m/>
    <n v="0"/>
    <m/>
    <x v="1"/>
    <s v=""/>
    <s v=""/>
    <s v="Missing Reject Reason"/>
  </r>
  <r>
    <s v="CLM-0056"/>
    <n v="56"/>
    <s v="Italy"/>
    <s v="Samsung Online Store"/>
    <x v="7"/>
    <d v="2026-05-27T00:00:00"/>
    <d v="2026-05-28T00:00:00"/>
    <s v="Yes"/>
    <s v="No"/>
    <s v="No"/>
    <x v="1"/>
    <m/>
    <n v="0"/>
    <m/>
    <x v="1"/>
    <s v=""/>
    <s v=""/>
    <s v="Missing Reject Reason"/>
  </r>
  <r>
    <s v="CLM-0057"/>
    <n v="57"/>
    <s v="Germany"/>
    <s v="Samsung Shop App"/>
    <x v="0"/>
    <d v="2026-06-03T00:00:00"/>
    <d v="2026-06-07T00:00:00"/>
    <s v="Yes"/>
    <s v="Yes"/>
    <s v="Yes"/>
    <x v="0"/>
    <m/>
    <n v="150"/>
    <m/>
    <x v="0"/>
    <d v="2026-06-12T00:00:00"/>
    <n v="5"/>
    <s v="OK"/>
  </r>
  <r>
    <s v="CLM-0058"/>
    <n v="58"/>
    <s v="France"/>
    <s v="Retail Partner"/>
    <x v="1"/>
    <d v="2026-06-10T00:00:00"/>
    <d v="2026-06-17T00:00:00"/>
    <s v="Yes"/>
    <s v="Yes"/>
    <s v="Yes"/>
    <x v="0"/>
    <m/>
    <n v="200"/>
    <m/>
    <x v="0"/>
    <d v="2026-06-23T00:00:00"/>
    <n v="6"/>
    <s v="OK"/>
  </r>
  <r>
    <s v="CLM-0059"/>
    <n v="59"/>
    <s v="Italy"/>
    <s v="Mobile Carrier"/>
    <x v="2"/>
    <d v="2026-06-17T00:00:00"/>
    <d v="2026-06-27T00:00:00"/>
    <s v="No"/>
    <s v="Yes"/>
    <s v="No"/>
    <x v="1"/>
    <m/>
    <n v="0"/>
    <m/>
    <x v="1"/>
    <s v=""/>
    <s v=""/>
    <s v="Missing Reject Reason"/>
  </r>
  <r>
    <s v="CLM-0060"/>
    <n v="60"/>
    <s v="Germany"/>
    <s v="Electronics Store"/>
    <x v="3"/>
    <d v="2026-06-24T00:00:00"/>
    <d v="2026-07-07T00:00:00"/>
    <s v="No"/>
    <s v="No"/>
    <s v="No"/>
    <x v="1"/>
    <m/>
    <n v="0"/>
    <m/>
    <x v="1"/>
    <s v=""/>
    <s v=""/>
    <s v="Missing Reject Reason"/>
  </r>
  <r>
    <s v="CLM-0061"/>
    <n v="61"/>
    <s v="Germany"/>
    <s v="Samsung Online Store"/>
    <x v="4"/>
    <d v="2026-05-01T00:00:00"/>
    <d v="2026-05-03T00:00:00"/>
    <s v="Yes"/>
    <s v="Yes"/>
    <s v="Yes"/>
    <x v="0"/>
    <m/>
    <n v="50"/>
    <m/>
    <x v="0"/>
    <d v="2026-05-06T00:00:00"/>
    <n v="3"/>
    <s v="OK"/>
  </r>
  <r>
    <s v="CLM-0062"/>
    <n v="62"/>
    <s v="France"/>
    <s v="Samsung Shop App"/>
    <x v="5"/>
    <d v="2026-05-08T00:00:00"/>
    <d v="2026-05-13T00:00:00"/>
    <s v="No"/>
    <s v="Yes"/>
    <s v="No"/>
    <x v="1"/>
    <m/>
    <n v="0"/>
    <m/>
    <x v="1"/>
    <s v=""/>
    <s v=""/>
    <s v="Missing Reject Reason"/>
  </r>
  <r>
    <s v="CLM-0063"/>
    <n v="63"/>
    <s v="Italy"/>
    <s v="Retail Partner"/>
    <x v="6"/>
    <d v="2026-05-15T00:00:00"/>
    <d v="2026-05-23T00:00:00"/>
    <s v="Yes"/>
    <s v="No"/>
    <s v="Yes"/>
    <x v="1"/>
    <m/>
    <n v="0"/>
    <m/>
    <x v="1"/>
    <s v=""/>
    <s v=""/>
    <s v="Missing Reject Reason"/>
  </r>
  <r>
    <s v="CLM-0064"/>
    <n v="64"/>
    <s v="Germany"/>
    <s v="Mobile Carrier"/>
    <x v="7"/>
    <d v="2026-05-22T00:00:00"/>
    <d v="2026-06-02T00:00:00"/>
    <s v="Yes"/>
    <s v="Yes"/>
    <s v="Yes"/>
    <x v="0"/>
    <m/>
    <n v="250"/>
    <m/>
    <x v="0"/>
    <d v="2026-06-08T00:00:00"/>
    <n v="6"/>
    <s v="OK"/>
  </r>
  <r>
    <s v="CLM-0065"/>
    <n v="65"/>
    <s v="France"/>
    <s v="Electronics Store"/>
    <x v="0"/>
    <d v="2026-05-29T00:00:00"/>
    <d v="2026-06-12T00:00:00"/>
    <s v="No"/>
    <s v="Yes"/>
    <s v="Yes"/>
    <x v="1"/>
    <m/>
    <n v="0"/>
    <m/>
    <x v="1"/>
    <s v=""/>
    <s v=""/>
    <s v="Missing Reject Reason"/>
  </r>
  <r>
    <s v="CLM-0066"/>
    <n v="66"/>
    <s v="Italy"/>
    <s v="Samsung Online Store"/>
    <x v="1"/>
    <d v="2026-06-05T00:00:00"/>
    <d v="2026-06-08T00:00:00"/>
    <s v="Yes"/>
    <s v="No"/>
    <s v="No"/>
    <x v="1"/>
    <m/>
    <n v="0"/>
    <m/>
    <x v="1"/>
    <s v=""/>
    <s v=""/>
    <s v="Missing Reject Reason"/>
  </r>
  <r>
    <s v="CLM-0067"/>
    <n v="67"/>
    <s v="Germany"/>
    <s v="Samsung Shop App"/>
    <x v="2"/>
    <d v="2026-06-12T00:00:00"/>
    <d v="2026-06-18T00:00:00"/>
    <s v="Yes"/>
    <s v="Yes"/>
    <s v="Yes"/>
    <x v="0"/>
    <m/>
    <n v="80"/>
    <m/>
    <x v="0"/>
    <d v="2026-06-21T00:00:00"/>
    <n v="3"/>
    <s v="OK"/>
  </r>
  <r>
    <s v="CLM-0068"/>
    <n v="68"/>
    <s v="France"/>
    <s v="Retail Partner"/>
    <x v="3"/>
    <d v="2026-06-19T00:00:00"/>
    <d v="2026-06-28T00:00:00"/>
    <s v="Yes"/>
    <s v="Yes"/>
    <s v="Yes"/>
    <x v="0"/>
    <m/>
    <n v="60"/>
    <m/>
    <x v="0"/>
    <d v="2026-07-02T00:00:00"/>
    <n v="4"/>
    <s v="OK"/>
  </r>
  <r>
    <s v="CLM-0069"/>
    <n v="69"/>
    <s v="Italy"/>
    <s v="Mobile Carrier"/>
    <x v="4"/>
    <d v="2026-06-26T00:00:00"/>
    <d v="2026-07-08T00:00:00"/>
    <s v="No"/>
    <s v="Yes"/>
    <s v="No"/>
    <x v="1"/>
    <m/>
    <n v="0"/>
    <m/>
    <x v="1"/>
    <s v=""/>
    <s v=""/>
    <s v="Missing Reject Reason"/>
  </r>
  <r>
    <s v="CLM-0070"/>
    <n v="70"/>
    <s v="Germany"/>
    <s v="Electronics Store"/>
    <x v="5"/>
    <d v="2026-05-03T00:00:00"/>
    <d v="2026-05-04T00:00:00"/>
    <s v="No"/>
    <s v="No"/>
    <s v="No"/>
    <x v="1"/>
    <m/>
    <n v="0"/>
    <m/>
    <x v="1"/>
    <s v=""/>
    <s v=""/>
    <s v="Missing Reject Reason"/>
  </r>
  <r>
    <s v="CLM-0071"/>
    <n v="71"/>
    <s v="Germany"/>
    <s v="Samsung Online Store"/>
    <x v="6"/>
    <d v="2026-05-10T00:00:00"/>
    <d v="2026-05-14T00:00:00"/>
    <s v="Yes"/>
    <s v="Yes"/>
    <s v="Yes"/>
    <x v="0"/>
    <m/>
    <n v="120"/>
    <m/>
    <x v="0"/>
    <d v="2026-05-21T00:00:00"/>
    <n v="7"/>
    <s v="OK"/>
  </r>
  <r>
    <s v="CLM-0072"/>
    <n v="72"/>
    <s v="France"/>
    <s v="Samsung Shop App"/>
    <x v="7"/>
    <d v="2026-05-17T00:00:00"/>
    <d v="2026-05-24T00:00:00"/>
    <s v="No"/>
    <s v="Yes"/>
    <s v="No"/>
    <x v="1"/>
    <m/>
    <n v="0"/>
    <m/>
    <x v="1"/>
    <s v=""/>
    <s v=""/>
    <s v="Missing Reject Reason"/>
  </r>
  <r>
    <s v="CLM-0073"/>
    <n v="73"/>
    <s v="Italy"/>
    <s v="Retail Partner"/>
    <x v="0"/>
    <d v="2026-05-24T00:00:00"/>
    <d v="2026-06-03T00:00:00"/>
    <s v="Yes"/>
    <s v="No"/>
    <s v="Yes"/>
    <x v="1"/>
    <m/>
    <n v="0"/>
    <m/>
    <x v="1"/>
    <s v=""/>
    <s v=""/>
    <s v="Missing Reject Reason"/>
  </r>
  <r>
    <s v="CLM-0074"/>
    <n v="74"/>
    <s v="Germany"/>
    <s v="Mobile Carrier"/>
    <x v="1"/>
    <d v="2026-05-31T00:00:00"/>
    <d v="2026-06-13T00:00:00"/>
    <s v="Yes"/>
    <s v="Yes"/>
    <s v="Yes"/>
    <x v="0"/>
    <m/>
    <n v="200"/>
    <m/>
    <x v="0"/>
    <d v="2026-06-17T00:00:00"/>
    <n v="4"/>
    <s v="OK"/>
  </r>
  <r>
    <s v="CLM-0075"/>
    <n v="75"/>
    <s v="France"/>
    <s v="Electronics Store"/>
    <x v="2"/>
    <d v="2026-06-07T00:00:00"/>
    <d v="2026-06-09T00:00:00"/>
    <s v="No"/>
    <s v="Yes"/>
    <s v="Yes"/>
    <x v="1"/>
    <m/>
    <n v="0"/>
    <m/>
    <x v="1"/>
    <s v=""/>
    <s v=""/>
    <s v="Missing Reject Reason"/>
  </r>
  <r>
    <s v="CLM-0076"/>
    <n v="76"/>
    <s v="Italy"/>
    <s v="Samsung Online Store"/>
    <x v="3"/>
    <d v="2026-06-14T00:00:00"/>
    <d v="2026-06-19T00:00:00"/>
    <s v="Yes"/>
    <s v="No"/>
    <s v="No"/>
    <x v="1"/>
    <m/>
    <n v="0"/>
    <m/>
    <x v="1"/>
    <s v=""/>
    <s v=""/>
    <s v="Missing Reject Reason"/>
  </r>
  <r>
    <s v="CLM-0077"/>
    <n v="77"/>
    <s v="Germany"/>
    <s v="Samsung Shop App"/>
    <x v="4"/>
    <d v="2026-06-21T00:00:00"/>
    <d v="2026-06-29T00:00:00"/>
    <s v="Yes"/>
    <s v="Yes"/>
    <s v="Yes"/>
    <x v="0"/>
    <m/>
    <n v="50"/>
    <m/>
    <x v="0"/>
    <d v="2026-07-06T00:00:00"/>
    <n v="7"/>
    <s v="OK"/>
  </r>
  <r>
    <s v="CLM-0078"/>
    <n v="78"/>
    <s v="France"/>
    <s v="Retail Partner"/>
    <x v="5"/>
    <d v="2026-06-28T00:00:00"/>
    <d v="2026-07-09T00:00:00"/>
    <s v="Yes"/>
    <s v="Yes"/>
    <s v="Yes"/>
    <x v="0"/>
    <m/>
    <n v="70"/>
    <m/>
    <x v="0"/>
    <d v="2026-07-11T00:00:00"/>
    <n v="2"/>
    <s v="OK"/>
  </r>
  <r>
    <s v="CLM-0079"/>
    <n v="79"/>
    <s v="Italy"/>
    <s v="Mobile Carrier"/>
    <x v="6"/>
    <d v="2026-05-05T00:00:00"/>
    <d v="2026-05-19T00:00:00"/>
    <s v="No"/>
    <s v="Yes"/>
    <s v="No"/>
    <x v="1"/>
    <m/>
    <n v="0"/>
    <m/>
    <x v="1"/>
    <s v=""/>
    <s v=""/>
    <s v="Missing Reject Reason"/>
  </r>
  <r>
    <s v="CLM-0080"/>
    <n v="80"/>
    <s v="Germany"/>
    <s v="Electronics Store"/>
    <x v="7"/>
    <d v="2026-05-12T00:00:00"/>
    <d v="2026-05-15T00:00:00"/>
    <s v="No"/>
    <s v="No"/>
    <s v="No"/>
    <x v="1"/>
    <m/>
    <n v="0"/>
    <m/>
    <x v="1"/>
    <s v=""/>
    <s v=""/>
    <s v="Missing Reject Reason"/>
  </r>
  <r>
    <s v="CLM-0081"/>
    <n v="81"/>
    <s v="Germany"/>
    <s v="Samsung Online Store"/>
    <x v="0"/>
    <d v="2026-05-19T00:00:00"/>
    <d v="2026-05-25T00:00:00"/>
    <s v="Yes"/>
    <s v="Yes"/>
    <s v="Yes"/>
    <x v="0"/>
    <m/>
    <n v="150"/>
    <m/>
    <x v="0"/>
    <d v="2026-05-30T00:00:00"/>
    <n v="5"/>
    <s v="OK"/>
  </r>
  <r>
    <s v="CLM-0082"/>
    <n v="82"/>
    <s v="France"/>
    <s v="Samsung Shop App"/>
    <x v="1"/>
    <d v="2026-05-26T00:00:00"/>
    <d v="2026-06-04T00:00:00"/>
    <s v="No"/>
    <s v="Yes"/>
    <s v="No"/>
    <x v="1"/>
    <m/>
    <n v="0"/>
    <m/>
    <x v="1"/>
    <s v=""/>
    <s v=""/>
    <s v="Missing Reject Reason"/>
  </r>
  <r>
    <s v="CLM-0083"/>
    <n v="83"/>
    <s v="Italy"/>
    <s v="Retail Partner"/>
    <x v="2"/>
    <d v="2026-06-02T00:00:00"/>
    <d v="2026-06-14T00:00:00"/>
    <s v="Yes"/>
    <s v="No"/>
    <s v="Yes"/>
    <x v="1"/>
    <m/>
    <n v="0"/>
    <m/>
    <x v="1"/>
    <s v=""/>
    <s v=""/>
    <s v="Missing Reject Reason"/>
  </r>
  <r>
    <s v="CLM-0084"/>
    <n v="84"/>
    <s v="Germany"/>
    <s v="Mobile Carrier"/>
    <x v="3"/>
    <d v="2026-06-09T00:00:00"/>
    <d v="2026-06-10T00:00:00"/>
    <s v="Yes"/>
    <s v="Yes"/>
    <s v="Yes"/>
    <x v="0"/>
    <m/>
    <n v="60"/>
    <m/>
    <x v="0"/>
    <d v="2026-06-12T00:00:00"/>
    <n v="2"/>
    <s v="OK"/>
  </r>
  <r>
    <s v="CLM-0085"/>
    <n v="85"/>
    <s v="France"/>
    <s v="Electronics Store"/>
    <x v="4"/>
    <d v="2026-06-16T00:00:00"/>
    <d v="2026-06-20T00:00:00"/>
    <s v="No"/>
    <s v="Yes"/>
    <s v="Yes"/>
    <x v="1"/>
    <m/>
    <n v="0"/>
    <m/>
    <x v="1"/>
    <s v=""/>
    <s v=""/>
    <s v="Missing Reject Reason"/>
  </r>
  <r>
    <s v="CLM-0086"/>
    <n v="86"/>
    <s v="Italy"/>
    <s v="Samsung Online Store"/>
    <x v="5"/>
    <d v="2026-06-23T00:00:00"/>
    <d v="2026-06-30T00:00:00"/>
    <s v="Yes"/>
    <s v="No"/>
    <s v="No"/>
    <x v="1"/>
    <m/>
    <n v="0"/>
    <m/>
    <x v="1"/>
    <s v=""/>
    <s v=""/>
    <s v="Missing Reject Reason"/>
  </r>
  <r>
    <s v="CLM-0087"/>
    <n v="87"/>
    <s v="Germany"/>
    <s v="Samsung Shop App"/>
    <x v="6"/>
    <d v="2026-06-30T00:00:00"/>
    <d v="2026-07-10T00:00:00"/>
    <s v="Yes"/>
    <s v="Yes"/>
    <s v="Yes"/>
    <x v="0"/>
    <m/>
    <n v="120"/>
    <m/>
    <x v="0"/>
    <d v="2026-07-15T00:00:00"/>
    <n v="5"/>
    <s v="OK"/>
  </r>
  <r>
    <s v="CLM-0088"/>
    <n v="88"/>
    <s v="France"/>
    <s v="Retail Partner"/>
    <x v="7"/>
    <d v="2026-05-07T00:00:00"/>
    <d v="2026-05-20T00:00:00"/>
    <s v="Yes"/>
    <s v="Yes"/>
    <s v="Yes"/>
    <x v="0"/>
    <m/>
    <n v="250"/>
    <m/>
    <x v="0"/>
    <d v="2026-05-26T00:00:00"/>
    <n v="6"/>
    <s v="OK"/>
  </r>
  <r>
    <s v="CLM-0089"/>
    <n v="89"/>
    <s v="Italy"/>
    <s v="Mobile Carrier"/>
    <x v="0"/>
    <d v="2026-05-14T00:00:00"/>
    <d v="2026-05-16T00:00:00"/>
    <s v="No"/>
    <s v="Yes"/>
    <s v="No"/>
    <x v="1"/>
    <m/>
    <n v="0"/>
    <m/>
    <x v="1"/>
    <s v=""/>
    <s v=""/>
    <s v="Missing Reject Reason"/>
  </r>
  <r>
    <s v="CLM-0090"/>
    <n v="90"/>
    <s v="Germany"/>
    <s v="Electronics Store"/>
    <x v="1"/>
    <d v="2026-05-21T00:00:00"/>
    <d v="2026-05-26T00:00:00"/>
    <s v="No"/>
    <s v="No"/>
    <s v="No"/>
    <x v="1"/>
    <m/>
    <n v="0"/>
    <m/>
    <x v="1"/>
    <s v=""/>
    <s v=""/>
    <s v="Missing Reject Reason"/>
  </r>
  <r>
    <s v="CLM-0091"/>
    <n v="91"/>
    <s v="Germany"/>
    <s v="Samsung Online Store"/>
    <x v="2"/>
    <d v="2026-05-28T00:00:00"/>
    <d v="2026-06-05T00:00:00"/>
    <s v="Yes"/>
    <s v="Yes"/>
    <s v="Yes"/>
    <x v="0"/>
    <m/>
    <n v="80"/>
    <m/>
    <x v="0"/>
    <d v="2026-06-08T00:00:00"/>
    <n v="3"/>
    <s v="OK"/>
  </r>
  <r>
    <s v="CLM-0092"/>
    <n v="92"/>
    <s v="France"/>
    <s v="Samsung Shop App"/>
    <x v="3"/>
    <d v="2026-06-04T00:00:00"/>
    <d v="2026-06-15T00:00:00"/>
    <s v="No"/>
    <s v="Yes"/>
    <s v="No"/>
    <x v="1"/>
    <m/>
    <n v="0"/>
    <m/>
    <x v="1"/>
    <s v=""/>
    <s v=""/>
    <s v="Missing Reject Reason"/>
  </r>
  <r>
    <s v="CLM-0093"/>
    <n v="93"/>
    <s v="Italy"/>
    <s v="Retail Partner"/>
    <x v="4"/>
    <d v="2026-06-11T00:00:00"/>
    <d v="2026-06-25T00:00:00"/>
    <s v="Yes"/>
    <s v="No"/>
    <s v="Yes"/>
    <x v="1"/>
    <m/>
    <n v="0"/>
    <m/>
    <x v="1"/>
    <s v=""/>
    <s v=""/>
    <s v="Missing Reject Reason"/>
  </r>
  <r>
    <s v="CLM-0094"/>
    <n v="94"/>
    <s v="Germany"/>
    <s v="Mobile Carrier"/>
    <x v="5"/>
    <d v="2026-06-18T00:00:00"/>
    <d v="2026-06-21T00:00:00"/>
    <s v="Yes"/>
    <s v="Yes"/>
    <s v="Yes"/>
    <x v="0"/>
    <m/>
    <n v="70"/>
    <m/>
    <x v="0"/>
    <d v="2026-06-27T00:00:00"/>
    <n v="6"/>
    <s v="OK"/>
  </r>
  <r>
    <s v="CLM-0095"/>
    <n v="95"/>
    <s v="France"/>
    <s v="Electronics Store"/>
    <x v="6"/>
    <d v="2026-06-25T00:00:00"/>
    <d v="2026-07-01T00:00:00"/>
    <s v="No"/>
    <s v="Yes"/>
    <s v="Yes"/>
    <x v="1"/>
    <m/>
    <n v="0"/>
    <m/>
    <x v="1"/>
    <s v=""/>
    <s v=""/>
    <s v="Missing Reject Reason"/>
  </r>
  <r>
    <s v="CLM-0096"/>
    <n v="96"/>
    <s v="Italy"/>
    <s v="Samsung Online Store"/>
    <x v="7"/>
    <d v="2026-05-02T00:00:00"/>
    <d v="2026-05-11T00:00:00"/>
    <s v="Yes"/>
    <s v="No"/>
    <s v="No"/>
    <x v="1"/>
    <m/>
    <n v="0"/>
    <m/>
    <x v="1"/>
    <s v=""/>
    <s v=""/>
    <s v="Missing Reject Reason"/>
  </r>
  <r>
    <s v="CLM-0097"/>
    <n v="97"/>
    <s v="Germany"/>
    <s v="Samsung Shop App"/>
    <x v="0"/>
    <d v="2026-05-09T00:00:00"/>
    <d v="2026-05-21T00:00:00"/>
    <s v="Yes"/>
    <s v="Yes"/>
    <s v="Yes"/>
    <x v="0"/>
    <m/>
    <n v="150"/>
    <m/>
    <x v="0"/>
    <d v="2026-05-24T00:00:00"/>
    <n v="3"/>
    <s v="OK"/>
  </r>
  <r>
    <s v="CLM-0098"/>
    <n v="98"/>
    <s v="France"/>
    <s v="Retail Partner"/>
    <x v="1"/>
    <d v="2026-05-16T00:00:00"/>
    <d v="2026-05-17T00:00:00"/>
    <s v="Yes"/>
    <s v="Yes"/>
    <s v="Yes"/>
    <x v="0"/>
    <m/>
    <n v="200"/>
    <m/>
    <x v="0"/>
    <d v="2026-05-21T00:00:00"/>
    <n v="4"/>
    <s v="OK"/>
  </r>
  <r>
    <s v="CLM-0099"/>
    <n v="99"/>
    <s v="Italy"/>
    <s v="Mobile Carrier"/>
    <x v="2"/>
    <d v="2026-05-23T00:00:00"/>
    <d v="2026-05-27T00:00:00"/>
    <s v="No"/>
    <s v="Yes"/>
    <s v="No"/>
    <x v="1"/>
    <m/>
    <n v="0"/>
    <m/>
    <x v="1"/>
    <s v=""/>
    <s v=""/>
    <s v="Missing Reject Reason"/>
  </r>
  <r>
    <s v="CLM-0100"/>
    <n v="100"/>
    <s v="Germany"/>
    <s v="Electronics Store"/>
    <x v="3"/>
    <d v="2026-05-30T00:00:00"/>
    <d v="2026-06-06T00:00:00"/>
    <s v="No"/>
    <s v="No"/>
    <s v="No"/>
    <x v="1"/>
    <m/>
    <n v="0"/>
    <m/>
    <x v="1"/>
    <s v=""/>
    <s v=""/>
    <s v="Missing Reject Reason"/>
  </r>
  <r>
    <s v="CLM-0101"/>
    <n v="101"/>
    <s v="Germany"/>
    <s v="Samsung Online Store"/>
    <x v="4"/>
    <d v="2026-06-06T00:00:00"/>
    <d v="2026-06-16T00:00:00"/>
    <s v="Yes"/>
    <s v="Yes"/>
    <s v="Yes"/>
    <x v="0"/>
    <m/>
    <n v="50"/>
    <m/>
    <x v="0"/>
    <d v="2026-06-23T00:00:00"/>
    <n v="7"/>
    <s v="OK"/>
  </r>
  <r>
    <s v="CLM-0102"/>
    <n v="102"/>
    <s v="France"/>
    <s v="Samsung Shop App"/>
    <x v="5"/>
    <d v="2026-06-13T00:00:00"/>
    <d v="2026-06-26T00:00:00"/>
    <s v="No"/>
    <s v="Yes"/>
    <s v="No"/>
    <x v="1"/>
    <m/>
    <n v="0"/>
    <m/>
    <x v="1"/>
    <s v=""/>
    <s v=""/>
    <s v="Missing Reject Reason"/>
  </r>
  <r>
    <s v="CLM-0103"/>
    <n v="103"/>
    <s v="Italy"/>
    <s v="Retail Partner"/>
    <x v="6"/>
    <d v="2026-06-20T00:00:00"/>
    <d v="2026-06-22T00:00:00"/>
    <s v="Yes"/>
    <s v="No"/>
    <s v="Yes"/>
    <x v="1"/>
    <m/>
    <n v="0"/>
    <m/>
    <x v="1"/>
    <s v=""/>
    <s v=""/>
    <s v="Missing Reject Reason"/>
  </r>
  <r>
    <s v="CLM-0104"/>
    <n v="104"/>
    <s v="Germany"/>
    <s v="Mobile Carrier"/>
    <x v="7"/>
    <d v="2026-06-27T00:00:00"/>
    <d v="2026-07-02T00:00:00"/>
    <s v="Yes"/>
    <s v="Yes"/>
    <s v="Yes"/>
    <x v="0"/>
    <m/>
    <n v="250"/>
    <m/>
    <x v="0"/>
    <d v="2026-07-06T00:00:00"/>
    <n v="4"/>
    <s v="OK"/>
  </r>
  <r>
    <s v="CLM-0105"/>
    <n v="105"/>
    <s v="France"/>
    <s v="Electronics Store"/>
    <x v="0"/>
    <d v="2026-05-04T00:00:00"/>
    <d v="2026-05-12T00:00:00"/>
    <s v="No"/>
    <s v="Yes"/>
    <s v="Yes"/>
    <x v="1"/>
    <m/>
    <n v="0"/>
    <m/>
    <x v="1"/>
    <s v=""/>
    <s v=""/>
    <s v="Missing Reject Reason"/>
  </r>
  <r>
    <s v="CLM-0106"/>
    <n v="106"/>
    <s v="Italy"/>
    <s v="Samsung Online Store"/>
    <x v="1"/>
    <d v="2026-05-11T00:00:00"/>
    <d v="2026-05-22T00:00:00"/>
    <s v="Yes"/>
    <s v="No"/>
    <s v="No"/>
    <x v="1"/>
    <m/>
    <n v="0"/>
    <m/>
    <x v="1"/>
    <s v=""/>
    <s v=""/>
    <s v="Missing Reject Reason"/>
  </r>
  <r>
    <s v="CLM-0107"/>
    <n v="107"/>
    <s v="Germany"/>
    <s v="Samsung Shop App"/>
    <x v="2"/>
    <d v="2026-05-18T00:00:00"/>
    <d v="2026-06-01T00:00:00"/>
    <s v="Yes"/>
    <s v="Yes"/>
    <s v="Yes"/>
    <x v="0"/>
    <m/>
    <n v="80"/>
    <m/>
    <x v="0"/>
    <d v="2026-06-08T00:00:00"/>
    <n v="7"/>
    <s v="OK"/>
  </r>
  <r>
    <s v="CLM-0108"/>
    <n v="108"/>
    <s v="France"/>
    <s v="Retail Partner"/>
    <x v="3"/>
    <d v="2026-05-25T00:00:00"/>
    <d v="2026-05-28T00:00:00"/>
    <s v="Yes"/>
    <s v="Yes"/>
    <s v="Yes"/>
    <x v="0"/>
    <m/>
    <n v="60"/>
    <m/>
    <x v="0"/>
    <d v="2026-05-30T00:00:00"/>
    <n v="2"/>
    <s v="OK"/>
  </r>
  <r>
    <s v="CLM-0109"/>
    <n v="109"/>
    <s v="Italy"/>
    <s v="Mobile Carrier"/>
    <x v="4"/>
    <d v="2026-06-01T00:00:00"/>
    <d v="2026-06-07T00:00:00"/>
    <s v="No"/>
    <s v="Yes"/>
    <s v="No"/>
    <x v="1"/>
    <m/>
    <n v="0"/>
    <m/>
    <x v="1"/>
    <s v=""/>
    <s v=""/>
    <s v="Missing Reject Reason"/>
  </r>
  <r>
    <s v="CLM-0110"/>
    <n v="110"/>
    <s v="Germany"/>
    <s v="Electronics Store"/>
    <x v="5"/>
    <d v="2026-06-08T00:00:00"/>
    <d v="2026-06-17T00:00:00"/>
    <s v="No"/>
    <s v="No"/>
    <s v="No"/>
    <x v="1"/>
    <m/>
    <n v="0"/>
    <m/>
    <x v="1"/>
    <s v=""/>
    <s v=""/>
    <s v="Missing Reject Reason"/>
  </r>
  <r>
    <s v="CLM-0111"/>
    <n v="111"/>
    <s v="Germany"/>
    <s v="Samsung Online Store"/>
    <x v="6"/>
    <d v="2026-06-15T00:00:00"/>
    <d v="2026-06-27T00:00:00"/>
    <s v="Yes"/>
    <s v="Yes"/>
    <s v="Yes"/>
    <x v="0"/>
    <m/>
    <n v="120"/>
    <m/>
    <x v="0"/>
    <d v="2026-07-02T00:00:00"/>
    <n v="5"/>
    <s v="OK"/>
  </r>
  <r>
    <s v="CLM-0112"/>
    <n v="112"/>
    <s v="France"/>
    <s v="Samsung Shop App"/>
    <x v="7"/>
    <d v="2026-06-22T00:00:00"/>
    <d v="2026-06-23T00:00:00"/>
    <s v="No"/>
    <s v="Yes"/>
    <s v="No"/>
    <x v="1"/>
    <m/>
    <n v="0"/>
    <m/>
    <x v="1"/>
    <s v=""/>
    <s v=""/>
    <s v="Missing Reject Reason"/>
  </r>
  <r>
    <s v="CLM-0113"/>
    <n v="113"/>
    <s v="Italy"/>
    <s v="Retail Partner"/>
    <x v="0"/>
    <d v="2026-06-29T00:00:00"/>
    <d v="2026-07-03T00:00:00"/>
    <s v="Yes"/>
    <s v="No"/>
    <s v="Yes"/>
    <x v="1"/>
    <m/>
    <n v="0"/>
    <m/>
    <x v="1"/>
    <s v=""/>
    <s v=""/>
    <s v="Missing Reject Reason"/>
  </r>
  <r>
    <s v="CLM-0114"/>
    <n v="114"/>
    <s v="Germany"/>
    <s v="Mobile Carrier"/>
    <x v="1"/>
    <d v="2026-05-06T00:00:00"/>
    <d v="2026-05-13T00:00:00"/>
    <s v="Yes"/>
    <s v="Yes"/>
    <s v="Yes"/>
    <x v="0"/>
    <m/>
    <n v="200"/>
    <m/>
    <x v="0"/>
    <d v="2026-05-15T00:00:00"/>
    <n v="2"/>
    <s v="OK"/>
  </r>
  <r>
    <s v="CLM-0115"/>
    <n v="115"/>
    <s v="France"/>
    <s v="Electronics Store"/>
    <x v="2"/>
    <d v="2026-05-13T00:00:00"/>
    <d v="2026-05-23T00:00:00"/>
    <s v="No"/>
    <s v="Yes"/>
    <s v="Yes"/>
    <x v="1"/>
    <m/>
    <n v="0"/>
    <m/>
    <x v="1"/>
    <s v=""/>
    <s v=""/>
    <s v="Missing Reject Reason"/>
  </r>
  <r>
    <s v="CLM-0116"/>
    <n v="116"/>
    <s v="Italy"/>
    <s v="Samsung Online Store"/>
    <x v="3"/>
    <d v="2026-05-20T00:00:00"/>
    <d v="2026-06-02T00:00:00"/>
    <s v="Yes"/>
    <s v="No"/>
    <s v="No"/>
    <x v="1"/>
    <m/>
    <n v="0"/>
    <m/>
    <x v="1"/>
    <s v=""/>
    <s v=""/>
    <s v="Missing Reject Reason"/>
  </r>
  <r>
    <s v="CLM-0117"/>
    <n v="117"/>
    <s v="Germany"/>
    <s v="Samsung Shop App"/>
    <x v="4"/>
    <d v="2026-05-27T00:00:00"/>
    <d v="2026-05-29T00:00:00"/>
    <s v="Yes"/>
    <s v="Yes"/>
    <s v="Yes"/>
    <x v="0"/>
    <m/>
    <n v="50"/>
    <m/>
    <x v="0"/>
    <d v="2026-06-03T00:00:00"/>
    <n v="5"/>
    <s v="OK"/>
  </r>
  <r>
    <s v="CLM-0118"/>
    <n v="118"/>
    <s v="France"/>
    <s v="Retail Partner"/>
    <x v="5"/>
    <d v="2026-06-03T00:00:00"/>
    <d v="2026-06-08T00:00:00"/>
    <s v="Yes"/>
    <s v="Yes"/>
    <s v="Yes"/>
    <x v="0"/>
    <m/>
    <n v="70"/>
    <m/>
    <x v="0"/>
    <d v="2026-06-14T00:00:00"/>
    <n v="6"/>
    <s v="OK"/>
  </r>
  <r>
    <s v="CLM-0119"/>
    <n v="119"/>
    <s v="Italy"/>
    <s v="Mobile Carrier"/>
    <x v="6"/>
    <d v="2026-06-10T00:00:00"/>
    <d v="2026-06-18T00:00:00"/>
    <s v="No"/>
    <s v="Yes"/>
    <s v="No"/>
    <x v="1"/>
    <m/>
    <n v="0"/>
    <m/>
    <x v="1"/>
    <s v=""/>
    <s v=""/>
    <s v="Missing Reject Reason"/>
  </r>
  <r>
    <s v="CLM-0120"/>
    <n v="120"/>
    <s v="Germany"/>
    <s v="Electronics Store"/>
    <x v="7"/>
    <d v="2026-06-17T00:00:00"/>
    <d v="2026-06-28T00:00:00"/>
    <s v="No"/>
    <s v="No"/>
    <s v="No"/>
    <x v="1"/>
    <m/>
    <n v="0"/>
    <m/>
    <x v="1"/>
    <s v=""/>
    <s v=""/>
    <s v="Missing Reject Reason"/>
  </r>
  <r>
    <s v="CLM-0121"/>
    <n v="121"/>
    <s v="Germany"/>
    <s v="Samsung Online Store"/>
    <x v="0"/>
    <d v="2026-06-24T00:00:00"/>
    <d v="2026-07-08T00:00:00"/>
    <s v="Yes"/>
    <s v="Yes"/>
    <s v="Yes"/>
    <x v="0"/>
    <m/>
    <n v="150"/>
    <m/>
    <x v="0"/>
    <d v="2026-07-11T00:00:00"/>
    <n v="3"/>
    <s v="OK"/>
  </r>
  <r>
    <s v="CLM-0122"/>
    <n v="122"/>
    <s v="France"/>
    <s v="Samsung Shop App"/>
    <x v="1"/>
    <d v="2026-05-01T00:00:00"/>
    <d v="2026-05-04T00:00:00"/>
    <s v="No"/>
    <s v="Yes"/>
    <s v="No"/>
    <x v="1"/>
    <m/>
    <n v="0"/>
    <m/>
    <x v="1"/>
    <s v=""/>
    <s v=""/>
    <s v="Missing Reject Reason"/>
  </r>
  <r>
    <s v="CLM-0123"/>
    <n v="123"/>
    <s v="Italy"/>
    <s v="Retail Partner"/>
    <x v="2"/>
    <d v="2026-05-08T00:00:00"/>
    <d v="2026-05-14T00:00:00"/>
    <s v="Yes"/>
    <s v="No"/>
    <s v="Yes"/>
    <x v="1"/>
    <m/>
    <n v="0"/>
    <m/>
    <x v="1"/>
    <s v=""/>
    <s v=""/>
    <s v="Missing Reject Reason"/>
  </r>
  <r>
    <s v="CLM-0124"/>
    <n v="124"/>
    <s v="Germany"/>
    <s v="Mobile Carrier"/>
    <x v="3"/>
    <d v="2026-05-15T00:00:00"/>
    <d v="2026-05-24T00:00:00"/>
    <s v="Yes"/>
    <s v="Yes"/>
    <s v="Yes"/>
    <x v="0"/>
    <m/>
    <n v="60"/>
    <m/>
    <x v="0"/>
    <d v="2026-05-30T00:00:00"/>
    <n v="6"/>
    <s v="OK"/>
  </r>
  <r>
    <s v="CLM-0125"/>
    <n v="125"/>
    <s v="France"/>
    <s v="Electronics Store"/>
    <x v="4"/>
    <d v="2026-05-22T00:00:00"/>
    <d v="2026-06-03T00:00:00"/>
    <s v="No"/>
    <s v="Yes"/>
    <s v="Yes"/>
    <x v="1"/>
    <m/>
    <n v="0"/>
    <m/>
    <x v="1"/>
    <s v=""/>
    <s v=""/>
    <s v="Missing Reject Reason"/>
  </r>
  <r>
    <s v="CLM-0126"/>
    <n v="126"/>
    <s v="Italy"/>
    <s v="Samsung Online Store"/>
    <x v="5"/>
    <d v="2026-05-29T00:00:00"/>
    <d v="2026-05-30T00:00:00"/>
    <s v="Yes"/>
    <s v="No"/>
    <s v="No"/>
    <x v="1"/>
    <m/>
    <n v="0"/>
    <m/>
    <x v="1"/>
    <s v=""/>
    <s v=""/>
    <s v="Missing Reject Reason"/>
  </r>
  <r>
    <s v="CLM-0127"/>
    <n v="127"/>
    <s v="Germany"/>
    <s v="Samsung Shop App"/>
    <x v="6"/>
    <d v="2026-06-05T00:00:00"/>
    <d v="2026-06-09T00:00:00"/>
    <s v="Yes"/>
    <s v="Yes"/>
    <s v="Yes"/>
    <x v="0"/>
    <m/>
    <n v="120"/>
    <m/>
    <x v="0"/>
    <d v="2026-06-12T00:00:00"/>
    <n v="3"/>
    <s v="OK"/>
  </r>
  <r>
    <s v="CLM-0128"/>
    <n v="128"/>
    <s v="France"/>
    <s v="Retail Partner"/>
    <x v="7"/>
    <d v="2026-06-12T00:00:00"/>
    <d v="2026-06-19T00:00:00"/>
    <s v="Yes"/>
    <s v="Yes"/>
    <s v="Yes"/>
    <x v="0"/>
    <m/>
    <n v="250"/>
    <m/>
    <x v="0"/>
    <d v="2026-06-23T00:00:00"/>
    <n v="4"/>
    <s v="OK"/>
  </r>
  <r>
    <s v="CLM-0129"/>
    <n v="129"/>
    <s v="Italy"/>
    <s v="Mobile Carrier"/>
    <x v="0"/>
    <d v="2026-06-19T00:00:00"/>
    <d v="2026-06-29T00:00:00"/>
    <s v="No"/>
    <s v="Yes"/>
    <s v="No"/>
    <x v="1"/>
    <m/>
    <n v="0"/>
    <m/>
    <x v="1"/>
    <s v=""/>
    <s v=""/>
    <s v="Missing Reject Reason"/>
  </r>
  <r>
    <s v="CLM-0130"/>
    <n v="130"/>
    <s v="Germany"/>
    <s v="Electronics Store"/>
    <x v="1"/>
    <d v="2026-06-26T00:00:00"/>
    <d v="2026-07-09T00:00:00"/>
    <s v="No"/>
    <s v="No"/>
    <s v="No"/>
    <x v="1"/>
    <m/>
    <n v="0"/>
    <m/>
    <x v="1"/>
    <s v=""/>
    <s v=""/>
    <s v="Missing Reject Reason"/>
  </r>
  <r>
    <s v="CLM-0131"/>
    <n v="131"/>
    <s v="Germany"/>
    <s v="Samsung Online Store"/>
    <x v="2"/>
    <d v="2026-05-03T00:00:00"/>
    <d v="2026-05-05T00:00:00"/>
    <s v="Yes"/>
    <s v="Yes"/>
    <s v="Yes"/>
    <x v="0"/>
    <m/>
    <n v="80"/>
    <m/>
    <x v="0"/>
    <d v="2026-05-12T00:00:00"/>
    <n v="7"/>
    <s v="OK"/>
  </r>
  <r>
    <s v="CLM-0132"/>
    <n v="132"/>
    <s v="France"/>
    <s v="Samsung Shop App"/>
    <x v="3"/>
    <d v="2026-05-10T00:00:00"/>
    <d v="2026-05-15T00:00:00"/>
    <s v="No"/>
    <s v="Yes"/>
    <s v="No"/>
    <x v="1"/>
    <m/>
    <n v="0"/>
    <m/>
    <x v="1"/>
    <s v=""/>
    <s v=""/>
    <s v="Missing Reject Reason"/>
  </r>
  <r>
    <s v="CLM-0133"/>
    <n v="133"/>
    <s v="Italy"/>
    <s v="Retail Partner"/>
    <x v="4"/>
    <d v="2026-05-17T00:00:00"/>
    <d v="2026-05-25T00:00:00"/>
    <s v="Yes"/>
    <s v="No"/>
    <s v="Yes"/>
    <x v="1"/>
    <m/>
    <n v="0"/>
    <m/>
    <x v="1"/>
    <s v=""/>
    <s v=""/>
    <s v="Missing Reject Reason"/>
  </r>
  <r>
    <s v="CLM-0134"/>
    <n v="134"/>
    <s v="Germany"/>
    <s v="Mobile Carrier"/>
    <x v="5"/>
    <d v="2026-05-24T00:00:00"/>
    <d v="2026-06-04T00:00:00"/>
    <s v="Yes"/>
    <s v="Yes"/>
    <s v="Yes"/>
    <x v="0"/>
    <m/>
    <n v="70"/>
    <m/>
    <x v="0"/>
    <d v="2026-06-08T00:00:00"/>
    <n v="4"/>
    <s v="OK"/>
  </r>
  <r>
    <s v="CLM-0135"/>
    <n v="135"/>
    <s v="France"/>
    <s v="Electronics Store"/>
    <x v="6"/>
    <d v="2026-05-31T00:00:00"/>
    <d v="2026-06-14T00:00:00"/>
    <s v="No"/>
    <s v="Yes"/>
    <s v="Yes"/>
    <x v="1"/>
    <m/>
    <n v="0"/>
    <m/>
    <x v="1"/>
    <s v=""/>
    <s v=""/>
    <s v="Missing Reject Reason"/>
  </r>
  <r>
    <s v="CLM-0136"/>
    <n v="136"/>
    <s v="Italy"/>
    <s v="Samsung Online Store"/>
    <x v="7"/>
    <d v="2026-06-07T00:00:00"/>
    <d v="2026-06-10T00:00:00"/>
    <s v="Yes"/>
    <s v="No"/>
    <s v="No"/>
    <x v="1"/>
    <m/>
    <n v="0"/>
    <m/>
    <x v="1"/>
    <s v=""/>
    <s v=""/>
    <s v="Missing Reject Reason"/>
  </r>
  <r>
    <s v="CLM-0137"/>
    <n v="137"/>
    <s v="Germany"/>
    <s v="Samsung Shop App"/>
    <x v="2"/>
    <d v="2026-06-14T00:00:00"/>
    <d v="2026-06-20T00:00:00"/>
    <s v="Yes"/>
    <s v="Yes"/>
    <s v="Yes"/>
    <x v="0"/>
    <m/>
    <n v="80"/>
    <m/>
    <x v="0"/>
    <d v="2026-06-27T00:00:00"/>
    <n v="7"/>
    <s v="OK"/>
  </r>
  <r>
    <s v="CLM-0138"/>
    <n v="138"/>
    <s v="France"/>
    <s v="Retail Partner"/>
    <x v="3"/>
    <d v="2026-06-21T00:00:00"/>
    <d v="2026-06-30T00:00:00"/>
    <s v="Yes"/>
    <s v="Yes"/>
    <s v="Yes"/>
    <x v="0"/>
    <m/>
    <n v="60"/>
    <m/>
    <x v="0"/>
    <d v="2026-07-02T00:00:00"/>
    <n v="2"/>
    <s v="OK"/>
  </r>
  <r>
    <s v="CLM-0139"/>
    <n v="139"/>
    <s v="Italy"/>
    <s v="Mobile Carrier"/>
    <x v="4"/>
    <d v="2026-06-28T00:00:00"/>
    <d v="2026-07-10T00:00:00"/>
    <s v="No"/>
    <s v="Yes"/>
    <s v="No"/>
    <x v="1"/>
    <m/>
    <n v="0"/>
    <m/>
    <x v="1"/>
    <s v=""/>
    <s v=""/>
    <s v="Missing Reject Reason"/>
  </r>
  <r>
    <s v="CLM-0140"/>
    <n v="140"/>
    <s v="Germany"/>
    <s v="Electronics Store"/>
    <x v="5"/>
    <d v="2026-05-05T00:00:00"/>
    <d v="2026-05-06T00:00:00"/>
    <s v="No"/>
    <s v="No"/>
    <s v="No"/>
    <x v="1"/>
    <m/>
    <n v="0"/>
    <m/>
    <x v="1"/>
    <s v=""/>
    <s v=""/>
    <s v="Missing Reject Rea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A45E68-035D-4AF7-B79B-CF17655EBE0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B15" firstHeaderRow="1" firstDataRow="1" firstDataCol="1"/>
  <pivotFields count="18">
    <pivotField showAll="0"/>
    <pivotField showAll="0"/>
    <pivotField showAll="0"/>
    <pivotField showAll="0"/>
    <pivotField axis="axisRow" showAll="0">
      <items count="9">
        <item x="3"/>
        <item x="2"/>
        <item x="4"/>
        <item x="0"/>
        <item x="1"/>
        <item x="6"/>
        <item x="5"/>
        <item x="7"/>
        <item t="default"/>
      </items>
    </pivotField>
    <pivotField numFmtId="14" showAll="0"/>
    <pivotField numFmtId="14" showAll="0"/>
    <pivotField showAll="0"/>
    <pivotField showAll="0"/>
    <pivotField showAll="0"/>
    <pivotField showAll="0">
      <items count="3">
        <item x="0"/>
        <item x="1"/>
        <item t="default"/>
      </items>
    </pivotField>
    <pivotField showAll="0"/>
    <pivotField dataField="1" showAll="0"/>
    <pivotField showAll="0"/>
    <pivotField showAll="0">
      <items count="3">
        <item x="1"/>
        <item x="0"/>
        <item t="default"/>
      </items>
    </pivotField>
    <pivotField numFmtId="14" showAll="0"/>
    <pivotField showAll="0"/>
    <pivotField showAll="0"/>
  </pivotFields>
  <rowFields count="1">
    <field x="4"/>
  </rowFields>
  <rowItems count="9">
    <i>
      <x/>
    </i>
    <i>
      <x v="1"/>
    </i>
    <i>
      <x v="2"/>
    </i>
    <i>
      <x v="3"/>
    </i>
    <i>
      <x v="4"/>
    </i>
    <i>
      <x v="5"/>
    </i>
    <i>
      <x v="6"/>
    </i>
    <i>
      <x v="7"/>
    </i>
    <i t="grand">
      <x/>
    </i>
  </rowItems>
  <colItems count="1">
    <i/>
  </colItems>
  <dataFields count="1">
    <dataField name="Sum of Cashback Amount (EUR)"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81AAEB-85C4-42CE-AEAF-AC85E57F946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4" firstHeaderRow="1" firstDataRow="1" firstDataCol="1"/>
  <pivotFields count="18">
    <pivotField dataField="1" showAll="0"/>
    <pivotField showAll="0"/>
    <pivotField showAll="0"/>
    <pivotField showAll="0"/>
    <pivotField showAll="0">
      <items count="9">
        <item x="3"/>
        <item x="2"/>
        <item x="4"/>
        <item x="0"/>
        <item x="1"/>
        <item x="6"/>
        <item x="5"/>
        <item x="7"/>
        <item t="default"/>
      </items>
    </pivotField>
    <pivotField numFmtId="14" showAll="0"/>
    <pivotField numFmtId="14" showAll="0"/>
    <pivotField showAll="0"/>
    <pivotField showAll="0"/>
    <pivotField showAll="0"/>
    <pivotField axis="axisRow" showAll="0">
      <items count="3">
        <item x="0"/>
        <item x="1"/>
        <item t="default"/>
      </items>
    </pivotField>
    <pivotField showAll="0"/>
    <pivotField showAll="0"/>
    <pivotField showAll="0"/>
    <pivotField showAll="0">
      <items count="3">
        <item x="1"/>
        <item x="0"/>
        <item t="default"/>
      </items>
    </pivotField>
    <pivotField numFmtId="14" showAll="0"/>
    <pivotField showAll="0"/>
    <pivotField showAll="0"/>
  </pivotFields>
  <rowFields count="1">
    <field x="10"/>
  </rowFields>
  <rowItems count="3">
    <i>
      <x/>
    </i>
    <i>
      <x v="1"/>
    </i>
    <i t="grand">
      <x/>
    </i>
  </rowItems>
  <colItems count="1">
    <i/>
  </colItems>
  <dataFields count="1">
    <dataField name="Count of Claim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1AC513-DA1F-4EC6-AF88-A9C4EF3B4A0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B31" firstHeaderRow="1" firstDataRow="1" firstDataCol="1"/>
  <pivotFields count="18">
    <pivotField showAll="0"/>
    <pivotField showAll="0"/>
    <pivotField showAll="0"/>
    <pivotField showAll="0"/>
    <pivotField axis="axisRow" showAll="0">
      <items count="9">
        <item x="3"/>
        <item x="2"/>
        <item x="4"/>
        <item x="0"/>
        <item x="1"/>
        <item x="6"/>
        <item x="5"/>
        <item x="7"/>
        <item t="default"/>
      </items>
    </pivotField>
    <pivotField numFmtId="14" showAll="0"/>
    <pivotField numFmtId="14" showAll="0"/>
    <pivotField showAll="0"/>
    <pivotField showAll="0"/>
    <pivotField showAll="0"/>
    <pivotField showAll="0">
      <items count="3">
        <item x="0"/>
        <item x="1"/>
        <item t="default"/>
      </items>
    </pivotField>
    <pivotField showAll="0"/>
    <pivotField showAll="0"/>
    <pivotField showAll="0"/>
    <pivotField showAll="0">
      <items count="3">
        <item x="1"/>
        <item x="0"/>
        <item t="default"/>
      </items>
    </pivotField>
    <pivotField numFmtId="14" showAll="0"/>
    <pivotField dataField="1" showAll="0"/>
    <pivotField showAll="0"/>
  </pivotFields>
  <rowFields count="1">
    <field x="4"/>
  </rowFields>
  <rowItems count="9">
    <i>
      <x/>
    </i>
    <i>
      <x v="1"/>
    </i>
    <i>
      <x v="2"/>
    </i>
    <i>
      <x v="3"/>
    </i>
    <i>
      <x v="4"/>
    </i>
    <i>
      <x v="5"/>
    </i>
    <i>
      <x v="6"/>
    </i>
    <i>
      <x v="7"/>
    </i>
    <i t="grand">
      <x/>
    </i>
  </rowItems>
  <colItems count="1">
    <i/>
  </colItems>
  <dataFields count="1">
    <dataField name="Average of Processing Days" fld="16" subtotal="average"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E646C8-9354-4E81-9D19-7DB111F759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20" firstHeaderRow="1" firstDataRow="1" firstDataCol="1"/>
  <pivotFields count="18">
    <pivotField dataField="1" showAll="0"/>
    <pivotField showAll="0"/>
    <pivotField showAll="0"/>
    <pivotField showAll="0"/>
    <pivotField showAll="0">
      <items count="9">
        <item x="3"/>
        <item x="2"/>
        <item x="4"/>
        <item x="0"/>
        <item x="1"/>
        <item x="6"/>
        <item x="5"/>
        <item x="7"/>
        <item t="default"/>
      </items>
    </pivotField>
    <pivotField numFmtId="14" showAll="0"/>
    <pivotField numFmtId="14" showAll="0"/>
    <pivotField showAll="0"/>
    <pivotField showAll="0"/>
    <pivotField showAll="0"/>
    <pivotField showAll="0">
      <items count="3">
        <item x="0"/>
        <item x="1"/>
        <item t="default"/>
      </items>
    </pivotField>
    <pivotField showAll="0"/>
    <pivotField showAll="0"/>
    <pivotField showAll="0"/>
    <pivotField axis="axisRow" showAll="0">
      <items count="3">
        <item x="1"/>
        <item x="0"/>
        <item t="default"/>
      </items>
    </pivotField>
    <pivotField numFmtId="14" showAll="0"/>
    <pivotField showAll="0"/>
    <pivotField showAll="0"/>
  </pivotFields>
  <rowFields count="1">
    <field x="14"/>
  </rowFields>
  <rowItems count="3">
    <i>
      <x/>
    </i>
    <i>
      <x v="1"/>
    </i>
    <i t="grand">
      <x/>
    </i>
  </rowItems>
  <colItems count="1">
    <i/>
  </colItems>
  <dataFields count="1">
    <dataField name="Count of Claim 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91937B2-9383-4357-BE75-1B228365AEF5}" sourceName="Product">
  <pivotTables>
    <pivotTable tabId="8" name="PivotTable7"/>
    <pivotTable tabId="8" name="PivotTable10"/>
    <pivotTable tabId="8" name="PivotTable8"/>
    <pivotTable tabId="8" name="PivotTable9"/>
  </pivotTables>
  <data>
    <tabular pivotCacheId="349614076">
      <items count="8">
        <i x="3" s="1"/>
        <i x="2" s="1"/>
        <i x="4" s="1"/>
        <i x="0" s="1"/>
        <i x="1" s="1"/>
        <i x="6"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idation_Status" xr10:uid="{EDA7FF37-3AD0-4CD5-B454-8D2B0AEF7A70}" sourceName="Validation Status">
  <pivotTables>
    <pivotTable tabId="8" name="PivotTable7"/>
    <pivotTable tabId="8" name="PivotTable10"/>
    <pivotTable tabId="8" name="PivotTable8"/>
    <pivotTable tabId="8" name="PivotTable9"/>
  </pivotTables>
  <data>
    <tabular pivotCacheId="34961407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31B7BCBD-B461-4895-84B3-EEC47989C8DC}" sourceName="Payment Status">
  <pivotTables>
    <pivotTable tabId="8" name="PivotTable7"/>
    <pivotTable tabId="8" name="PivotTable10"/>
    <pivotTable tabId="8" name="PivotTable8"/>
    <pivotTable tabId="8" name="PivotTable9"/>
  </pivotTables>
  <data>
    <tabular pivotCacheId="34961407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F62FC65-2ED4-442F-9C67-B318094553B4}" cache="Slicer_Product" caption="Product" rowHeight="257175"/>
  <slicer name="Validation Status" xr10:uid="{FC5EB16F-7857-4017-94BE-0781694D6C37}" cache="Slicer_Validation_Status" caption="Validation Status" rowHeight="257175"/>
  <slicer name="Payment Status" xr10:uid="{39869B75-6098-44FA-80C7-F046E7E491EC}" cache="Slicer_Payment_Status" caption="Payment Statu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51D137-B851-466C-976B-4CCA6BE7DC33}" name="Claims" displayName="Claims" ref="A1:P141" totalsRowShown="0" headerRowDxfId="23">
  <autoFilter ref="A1:P141" xr:uid="{9D51D137-B851-466C-976B-4CCA6BE7DC33}"/>
  <tableColumns count="16">
    <tableColumn id="1" xr3:uid="{4FFE0273-19AE-47CF-BA3C-2F9D6123F70D}" name="Claim ID" dataDxfId="22">
      <calculatedColumnFormula>"CLM-"&amp;TEXT(Claims[[#This Row],[Sequence]],"0000")</calculatedColumnFormula>
    </tableColumn>
    <tableColumn id="18" xr3:uid="{A1FFA154-BB2D-4838-A3DE-B6BD289F65D1}" name="Sequence" dataDxfId="21">
      <calculatedColumnFormula array="1">ROW()-ROW(Claims[#Headers])</calculatedColumnFormula>
    </tableColumn>
    <tableColumn id="3" xr3:uid="{45312BB2-386E-4578-BCAD-7666039071C1}" name="Country"/>
    <tableColumn id="19" xr3:uid="{1AF98ADA-46F3-4F03-AE17-76FCED34EEE9}" name="Channel" dataDxfId="20"/>
    <tableColumn id="4" xr3:uid="{50E9E521-79D3-4E87-A1BE-66FC1C11E6C7}" name="Product"/>
    <tableColumn id="5" xr3:uid="{45C54F72-1AEF-4E0F-981D-7D3F0BE4D29F}" name="Purchase Date" dataDxfId="19">
      <calculatedColumnFormula>DATE(2026,5,1)+MOD(Claims[[#This Row],[Sequence]]*7,61)</calculatedColumnFormula>
    </tableColumn>
    <tableColumn id="11" xr3:uid="{6DE1FE9C-A30E-4D79-BF78-53E9B0545A2F}" name="Claim date" dataDxfId="18">
      <calculatedColumnFormula>Claims[[#This Row],[Purchase Date]]+1+MOD(Claims[[#This Row],[Sequence]]*3,14)</calculatedColumnFormula>
    </tableColumn>
    <tableColumn id="6" xr3:uid="{AEEF60D9-1C17-4FDB-96C4-8385C7919DA9}" name="Invoice Attached"/>
    <tableColumn id="7" xr3:uid="{87349FAF-6E3A-49B2-9115-4C3B7CA1385C}" name="Serial Number Valid"/>
    <tableColumn id="12" xr3:uid="{E2C90F4B-32DE-48CB-AFAD-3FDDD3EA7B4C}" name="Promotion Eligible"/>
    <tableColumn id="9" xr3:uid="{09CF5FB9-69A2-47FB-AD54-6A3865887D48}" name="Validation Status" dataDxfId="17">
      <calculatedColumnFormula>IF(AND(Claims[[#This Row],[Invoice Attached]]="Yes",Claims[[#This Row],[Serial Number Valid]]="Yes",Claims[[#This Row],[Promotion Eligible]]="Yes"),"Approved","Rejected")</calculatedColumnFormula>
    </tableColumn>
    <tableColumn id="10" xr3:uid="{0429E487-77F7-45CB-A1C2-8C2090A79301}" name="Cashback Amount (EUR)" dataDxfId="12">
      <calculatedColumnFormula>IF(Claims[[#This Row],[Validation Status]]="Approved",_xlfn.XLOOKUP(Claims[[#This Row],[Product]],Products[Product],Products[Cashback],0),0)</calculatedColumnFormula>
    </tableColumn>
    <tableColumn id="8" xr3:uid="{4C2745FE-F132-4156-81C0-E197A91E830B}" name="Product Price (EUR)"/>
    <tableColumn id="14" xr3:uid="{536B4F36-0D68-4147-853E-4375A9AA5895}" name="Payment Status" dataDxfId="16">
      <calculatedColumnFormula>IF(Claims[[#This Row],[Validation Status]]="Rejected","Cancelled",IF(MOD(Claims[[#This Row],[Sequence]],5)=0,"Pending","Paid"))</calculatedColumnFormula>
    </tableColumn>
    <tableColumn id="15" xr3:uid="{AB26EBC6-936E-4D05-B212-25E9B63DEAC3}" name="Payment Date" dataDxfId="15">
      <calculatedColumnFormula>IF(Claims[[#This Row],[Payment Status]]="Paid",Claims[[#This Row],[Claim date]]+2+MOD(Claims[[#This Row],[Sequence]],6),"")</calculatedColumnFormula>
    </tableColumn>
    <tableColumn id="16" xr3:uid="{ED74FBDB-2DFC-4FD5-BADB-96E7CD741104}" name="Processing Days" dataDxfId="14">
      <calculatedColumnFormula>IF(OR(Claims[[#This Row],[Payment Status]]&lt;&gt;"Paid",Claims[[#This Row],[Payment Date]]="",Claims[[#This Row],[Claim date]]=""),"",Claims[[#This Row],[Payment Date]]-Claims[[#This Row],[Claim date]])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7DED36-D5D4-4833-925E-181633EE75F3}" name="Reference_Data" displayName="Reference_Data" ref="A1:G8" totalsRowShown="0">
  <autoFilter ref="A1:G8" xr:uid="{737DED36-D5D4-4833-925E-181633EE75F3}"/>
  <tableColumns count="7">
    <tableColumn id="1" xr3:uid="{A949AD04-7993-40B2-BCFD-48E215E2E430}" name="Validation Status"/>
    <tableColumn id="2" xr3:uid="{C66ED061-6688-49EB-9D70-43FDF4C11C50}" name="Column2"/>
    <tableColumn id="3" xr3:uid="{198A9D0D-FCC3-4C40-93D0-4910A96BC9CE}" name="Payment Status"/>
    <tableColumn id="4" xr3:uid="{3139464D-505F-4408-98F7-2DE54B1C18CF}" name="Column4"/>
    <tableColumn id="5" xr3:uid="{2198E87A-3C5B-4E4F-A013-9E420C63EFBA}" name="Yes/No"/>
    <tableColumn id="6" xr3:uid="{9F7638B9-D455-49CC-8DAC-9EAC92816D9D}" name="Column6"/>
    <tableColumn id="7" xr3:uid="{D35F1597-D492-4ED3-A225-4A7A969E6789}" name="Reject Reaso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9286B9-1948-4AD2-9A33-B8C28AAE8DAE}" name="Products" displayName="Products" ref="A1:B9" totalsRowShown="0" headerRowDxfId="13">
  <autoFilter ref="A1:B9" xr:uid="{C29286B9-1948-4AD2-9A33-B8C28AAE8DAE}"/>
  <tableColumns count="2">
    <tableColumn id="1" xr3:uid="{EAC9C583-D6B0-4EF7-B230-A0443AB67FED}" name="Product"/>
    <tableColumn id="2" xr3:uid="{F9E063D7-9B03-4EAA-AF13-52120256499C}" name="Cashback"/>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13F86-BF53-4836-9B15-6BB314E4C0F4}">
  <dimension ref="A1:P141"/>
  <sheetViews>
    <sheetView tabSelected="1" zoomScaleNormal="100" workbookViewId="0">
      <pane ySplit="1" topLeftCell="A2" activePane="bottomLeft" state="frozen"/>
      <selection pane="bottomLeft" activeCell="S16" sqref="S16"/>
    </sheetView>
  </sheetViews>
  <sheetFormatPr defaultRowHeight="15" x14ac:dyDescent="0.25"/>
  <cols>
    <col min="1" max="1" width="11" bestFit="1" customWidth="1"/>
    <col min="2" max="2" width="12.140625" hidden="1" customWidth="1"/>
    <col min="3" max="3" width="10.42578125" customWidth="1"/>
    <col min="4" max="5" width="20.5703125" bestFit="1" customWidth="1"/>
    <col min="6" max="6" width="18.140625" customWidth="1"/>
    <col min="7" max="7" width="20.85546875" customWidth="1"/>
    <col min="8" max="8" width="20.7109375" customWidth="1"/>
    <col min="9" max="9" width="20.140625" bestFit="1" customWidth="1"/>
    <col min="10" max="10" width="21.7109375" customWidth="1"/>
    <col min="11" max="11" width="22.140625" bestFit="1" customWidth="1"/>
    <col min="12" max="12" width="25.42578125" bestFit="1" customWidth="1"/>
    <col min="13" max="13" width="22.140625" bestFit="1" customWidth="1"/>
    <col min="14" max="15" width="17.42578125" bestFit="1" customWidth="1"/>
    <col min="16" max="16" width="18.140625" bestFit="1" customWidth="1"/>
    <col min="17" max="19" width="20.85546875" bestFit="1" customWidth="1"/>
  </cols>
  <sheetData>
    <row r="1" spans="1:16" x14ac:dyDescent="0.25">
      <c r="A1" s="1" t="s">
        <v>0</v>
      </c>
      <c r="B1" s="1" t="s">
        <v>55</v>
      </c>
      <c r="C1" s="1" t="s">
        <v>1</v>
      </c>
      <c r="D1" s="1" t="s">
        <v>56</v>
      </c>
      <c r="E1" s="1" t="s">
        <v>13</v>
      </c>
      <c r="F1" s="1" t="s">
        <v>2</v>
      </c>
      <c r="G1" s="1" t="s">
        <v>22</v>
      </c>
      <c r="H1" s="1" t="s">
        <v>3</v>
      </c>
      <c r="I1" s="1" t="s">
        <v>4</v>
      </c>
      <c r="J1" s="1" t="s">
        <v>23</v>
      </c>
      <c r="K1" s="1" t="s">
        <v>10</v>
      </c>
      <c r="L1" s="1" t="s">
        <v>25</v>
      </c>
      <c r="M1" s="1" t="s">
        <v>5</v>
      </c>
      <c r="N1" s="1" t="s">
        <v>26</v>
      </c>
      <c r="O1" s="1" t="s">
        <v>27</v>
      </c>
      <c r="P1" s="1" t="s">
        <v>28</v>
      </c>
    </row>
    <row r="2" spans="1:16" x14ac:dyDescent="0.25">
      <c r="A2" t="str">
        <f>"CLM-"&amp;TEXT(Claims[[#This Row],[Sequence]],"0000")</f>
        <v>CLM-0001</v>
      </c>
      <c r="B2" cm="1">
        <f t="array" ref="B2">ROW()-ROW(Claims[#Headers])</f>
        <v>1</v>
      </c>
      <c r="C2" t="s">
        <v>6</v>
      </c>
      <c r="D2" t="s">
        <v>57</v>
      </c>
      <c r="E2" t="s">
        <v>15</v>
      </c>
      <c r="F2" s="2">
        <f>DATE(2026,5,1)+MOD(Claims[[#This Row],[Sequence]]*7,61)</f>
        <v>46150</v>
      </c>
      <c r="G2" s="2">
        <f>Claims[[#This Row],[Purchase Date]]+1+MOD(Claims[[#This Row],[Sequence]]*3,14)</f>
        <v>46154</v>
      </c>
      <c r="H2" t="s">
        <v>35</v>
      </c>
      <c r="I2" t="s">
        <v>35</v>
      </c>
      <c r="J2" t="s">
        <v>35</v>
      </c>
      <c r="K2" t="str">
        <f>IF(AND(Claims[[#This Row],[Invoice Attached]]="Yes",Claims[[#This Row],[Serial Number Valid]]="Yes",Claims[[#This Row],[Promotion Eligible]]="Yes"),"Approved","Rejected")</f>
        <v>Approved</v>
      </c>
      <c r="L2">
        <f>IF(Claims[[#This Row],[Validation Status]]="Approved",_xlfn.XLOOKUP(Claims[[#This Row],[Product]],Products[Product],Products[Cashback],0),0)</f>
        <v>150</v>
      </c>
      <c r="M2">
        <v>1000</v>
      </c>
      <c r="N2" t="str">
        <f>IF(Claims[[#This Row],[Validation Status]]="Rejected","Cancelled",IF(MOD(Claims[[#This Row],[Sequence]],5)=0,"Pending","Paid"))</f>
        <v>Paid</v>
      </c>
      <c r="O2" s="2">
        <f>IF(Claims[[#This Row],[Payment Status]]="Paid",Claims[[#This Row],[Claim date]]+2+MOD(Claims[[#This Row],[Sequence]],6),"")</f>
        <v>46157</v>
      </c>
      <c r="P2">
        <f>IF(OR(Claims[[#This Row],[Payment Status]]&lt;&gt;"Paid",Claims[[#This Row],[Payment Date]]="",Claims[[#This Row],[Claim date]]=""),"",Claims[[#This Row],[Payment Date]]-Claims[[#This Row],[Claim date]])</f>
        <v>3</v>
      </c>
    </row>
    <row r="3" spans="1:16" x14ac:dyDescent="0.25">
      <c r="A3" t="str">
        <f>"CLM-"&amp;TEXT(Claims[[#This Row],[Sequence]],"0000")</f>
        <v>CLM-0002</v>
      </c>
      <c r="B3" cm="1">
        <f t="array" ref="B3">ROW()-ROW(Claims[#Headers])</f>
        <v>2</v>
      </c>
      <c r="C3" t="s">
        <v>7</v>
      </c>
      <c r="D3" t="s">
        <v>58</v>
      </c>
      <c r="E3" t="s">
        <v>16</v>
      </c>
      <c r="F3" s="2">
        <f>DATE(2026,5,1)+MOD(Claims[[#This Row],[Sequence]]*7,61)</f>
        <v>46157</v>
      </c>
      <c r="G3" s="2">
        <f>Claims[[#This Row],[Purchase Date]]+1+MOD(Claims[[#This Row],[Sequence]]*3,14)</f>
        <v>46164</v>
      </c>
      <c r="H3" t="s">
        <v>35</v>
      </c>
      <c r="I3" t="s">
        <v>35</v>
      </c>
      <c r="J3" t="s">
        <v>36</v>
      </c>
      <c r="K3" t="str">
        <f>IF(AND(Claims[[#This Row],[Invoice Attached]]="Yes",Claims[[#This Row],[Serial Number Valid]]="Yes",Claims[[#This Row],[Promotion Eligible]]="Yes"),"Approved","Rejected")</f>
        <v>Rejected</v>
      </c>
      <c r="L3">
        <f>IF(Claims[[#This Row],[Validation Status]]="Approved",_xlfn.XLOOKUP(Claims[[#This Row],[Product]],Products[Product],Products[Cashback],0),0)</f>
        <v>0</v>
      </c>
      <c r="M3">
        <v>600</v>
      </c>
      <c r="N3" t="str">
        <f>IF(Claims[[#This Row],[Validation Status]]="Rejected","Cancelled",IF(MOD(Claims[[#This Row],[Sequence]],5)=0,"Pending","Paid"))</f>
        <v>Cancelled</v>
      </c>
      <c r="O3" s="2" t="str">
        <f>IF(Claims[[#This Row],[Payment Status]]="Paid",Claims[[#This Row],[Claim date]]+2+MOD(Claims[[#This Row],[Sequence]],6),"")</f>
        <v/>
      </c>
      <c r="P3" t="str">
        <f>IF(OR(Claims[[#This Row],[Payment Status]]&lt;&gt;"Paid",Claims[[#This Row],[Payment Date]]="",Claims[[#This Row],[Claim date]]=""),"",Claims[[#This Row],[Payment Date]]-Claims[[#This Row],[Claim date]])</f>
        <v/>
      </c>
    </row>
    <row r="4" spans="1:16" x14ac:dyDescent="0.25">
      <c r="A4" t="str">
        <f>"CLM-"&amp;TEXT(Claims[[#This Row],[Sequence]],"0000")</f>
        <v>CLM-0003</v>
      </c>
      <c r="B4" cm="1">
        <f t="array" ref="B4">ROW()-ROW(Claims[#Headers])</f>
        <v>3</v>
      </c>
      <c r="C4" t="s">
        <v>9</v>
      </c>
      <c r="D4" t="s">
        <v>59</v>
      </c>
      <c r="E4" t="s">
        <v>17</v>
      </c>
      <c r="F4" s="2">
        <f>DATE(2026,5,1)+MOD(Claims[[#This Row],[Sequence]]*7,61)</f>
        <v>46164</v>
      </c>
      <c r="G4" s="2">
        <f>Claims[[#This Row],[Purchase Date]]+1+MOD(Claims[[#This Row],[Sequence]]*3,14)</f>
        <v>46174</v>
      </c>
      <c r="H4" t="s">
        <v>35</v>
      </c>
      <c r="I4" t="s">
        <v>36</v>
      </c>
      <c r="J4" t="s">
        <v>35</v>
      </c>
      <c r="K4" t="str">
        <f>IF(AND(Claims[[#This Row],[Invoice Attached]]="Yes",Claims[[#This Row],[Serial Number Valid]]="Yes",Claims[[#This Row],[Promotion Eligible]]="Yes"),"Approved","Rejected")</f>
        <v>Rejected</v>
      </c>
      <c r="L4">
        <f>IF(Claims[[#This Row],[Validation Status]]="Approved",_xlfn.XLOOKUP(Claims[[#This Row],[Product]],Products[Product],Products[Cashback],0),0)</f>
        <v>0</v>
      </c>
      <c r="M4">
        <v>1100</v>
      </c>
      <c r="N4" t="str">
        <f>IF(Claims[[#This Row],[Validation Status]]="Rejected","Cancelled",IF(MOD(Claims[[#This Row],[Sequence]],5)=0,"Pending","Paid"))</f>
        <v>Cancelled</v>
      </c>
      <c r="O4" s="2" t="str">
        <f>IF(Claims[[#This Row],[Payment Status]]="Paid",Claims[[#This Row],[Claim date]]+2+MOD(Claims[[#This Row],[Sequence]],6),"")</f>
        <v/>
      </c>
      <c r="P4" t="str">
        <f>IF(OR(Claims[[#This Row],[Payment Status]]&lt;&gt;"Paid",Claims[[#This Row],[Payment Date]]="",Claims[[#This Row],[Claim date]]=""),"",Claims[[#This Row],[Payment Date]]-Claims[[#This Row],[Claim date]])</f>
        <v/>
      </c>
    </row>
    <row r="5" spans="1:16" x14ac:dyDescent="0.25">
      <c r="A5" t="str">
        <f>"CLM-"&amp;TEXT(Claims[[#This Row],[Sequence]],"0000")</f>
        <v>CLM-0004</v>
      </c>
      <c r="B5" cm="1">
        <f t="array" ref="B5">ROW()-ROW(Claims[#Headers])</f>
        <v>4</v>
      </c>
      <c r="C5" t="s">
        <v>6</v>
      </c>
      <c r="D5" t="s">
        <v>60</v>
      </c>
      <c r="E5" t="s">
        <v>18</v>
      </c>
      <c r="F5" s="2">
        <f>DATE(2026,5,1)+MOD(Claims[[#This Row],[Sequence]]*7,61)</f>
        <v>46171</v>
      </c>
      <c r="G5" s="2">
        <f>Claims[[#This Row],[Purchase Date]]+1+MOD(Claims[[#This Row],[Sequence]]*3,14)</f>
        <v>46184</v>
      </c>
      <c r="H5" t="s">
        <v>35</v>
      </c>
      <c r="I5" t="s">
        <v>35</v>
      </c>
      <c r="J5" t="s">
        <v>35</v>
      </c>
      <c r="K5" t="str">
        <f>IF(AND(Claims[[#This Row],[Invoice Attached]]="Yes",Claims[[#This Row],[Serial Number Valid]]="Yes",Claims[[#This Row],[Promotion Eligible]]="Yes"),"Approved","Rejected")</f>
        <v>Approved</v>
      </c>
      <c r="L5">
        <f>IF(Claims[[#This Row],[Validation Status]]="Approved",_xlfn.XLOOKUP(Claims[[#This Row],[Product]],Products[Product],Products[Cashback],0),0)</f>
        <v>60</v>
      </c>
      <c r="M5">
        <v>1000</v>
      </c>
      <c r="N5" t="str">
        <f>IF(Claims[[#This Row],[Validation Status]]="Rejected","Cancelled",IF(MOD(Claims[[#This Row],[Sequence]],5)=0,"Pending","Paid"))</f>
        <v>Paid</v>
      </c>
      <c r="O5" s="2">
        <f>IF(Claims[[#This Row],[Payment Status]]="Paid",Claims[[#This Row],[Claim date]]+2+MOD(Claims[[#This Row],[Sequence]],6),"")</f>
        <v>46190</v>
      </c>
      <c r="P5">
        <f>IF(OR(Claims[[#This Row],[Payment Status]]&lt;&gt;"Paid",Claims[[#This Row],[Payment Date]]="",Claims[[#This Row],[Claim date]]=""),"",Claims[[#This Row],[Payment Date]]-Claims[[#This Row],[Claim date]])</f>
        <v>6</v>
      </c>
    </row>
    <row r="6" spans="1:16" x14ac:dyDescent="0.25">
      <c r="A6" t="str">
        <f>"CLM-"&amp;TEXT(Claims[[#This Row],[Sequence]],"0000")</f>
        <v>CLM-0005</v>
      </c>
      <c r="B6" cm="1">
        <f t="array" ref="B6">ROW()-ROW(Claims[#Headers])</f>
        <v>5</v>
      </c>
      <c r="C6" t="s">
        <v>7</v>
      </c>
      <c r="D6" t="s">
        <v>61</v>
      </c>
      <c r="E6" t="s">
        <v>19</v>
      </c>
      <c r="F6" s="2">
        <f>DATE(2026,5,1)+MOD(Claims[[#This Row],[Sequence]]*7,61)</f>
        <v>46178</v>
      </c>
      <c r="G6" s="2">
        <f>Claims[[#This Row],[Purchase Date]]+1+MOD(Claims[[#This Row],[Sequence]]*3,14)</f>
        <v>46180</v>
      </c>
      <c r="H6" t="s">
        <v>36</v>
      </c>
      <c r="I6" t="s">
        <v>35</v>
      </c>
      <c r="J6" t="s">
        <v>35</v>
      </c>
      <c r="K6" t="str">
        <f>IF(AND(Claims[[#This Row],[Invoice Attached]]="Yes",Claims[[#This Row],[Serial Number Valid]]="Yes",Claims[[#This Row],[Promotion Eligible]]="Yes"),"Approved","Rejected")</f>
        <v>Rejected</v>
      </c>
      <c r="L6">
        <f>IF(Claims[[#This Row],[Validation Status]]="Approved",_xlfn.XLOOKUP(Claims[[#This Row],[Product]],Products[Product],Products[Cashback],0),0)</f>
        <v>0</v>
      </c>
      <c r="M6">
        <v>200</v>
      </c>
      <c r="N6" t="str">
        <f>IF(Claims[[#This Row],[Validation Status]]="Rejected","Cancelled",IF(MOD(Claims[[#This Row],[Sequence]],5)=0,"Pending","Paid"))</f>
        <v>Cancelled</v>
      </c>
      <c r="O6" s="2" t="str">
        <f>IF(Claims[[#This Row],[Payment Status]]="Paid",Claims[[#This Row],[Claim date]]+2+MOD(Claims[[#This Row],[Sequence]],6),"")</f>
        <v/>
      </c>
      <c r="P6" t="str">
        <f>IF(OR(Claims[[#This Row],[Payment Status]]&lt;&gt;"Paid",Claims[[#This Row],[Payment Date]]="",Claims[[#This Row],[Claim date]]=""),"",Claims[[#This Row],[Payment Date]]-Claims[[#This Row],[Claim date]])</f>
        <v/>
      </c>
    </row>
    <row r="7" spans="1:16" x14ac:dyDescent="0.25">
      <c r="A7" t="str">
        <f>"CLM-"&amp;TEXT(Claims[[#This Row],[Sequence]],"0000")</f>
        <v>CLM-0006</v>
      </c>
      <c r="B7" cm="1">
        <f t="array" ref="B7">ROW()-ROW(Claims[#Headers])</f>
        <v>6</v>
      </c>
      <c r="C7" t="s">
        <v>9</v>
      </c>
      <c r="D7" t="s">
        <v>57</v>
      </c>
      <c r="E7" t="s">
        <v>20</v>
      </c>
      <c r="F7" s="2">
        <f>DATE(2026,5,1)+MOD(Claims[[#This Row],[Sequence]]*7,61)</f>
        <v>46185</v>
      </c>
      <c r="G7" s="2">
        <f>Claims[[#This Row],[Purchase Date]]+1+MOD(Claims[[#This Row],[Sequence]]*3,14)</f>
        <v>46190</v>
      </c>
      <c r="H7" t="s">
        <v>35</v>
      </c>
      <c r="I7" t="s">
        <v>36</v>
      </c>
      <c r="J7" t="s">
        <v>36</v>
      </c>
      <c r="K7" t="str">
        <f>IF(AND(Claims[[#This Row],[Invoice Attached]]="Yes",Claims[[#This Row],[Serial Number Valid]]="Yes",Claims[[#This Row],[Promotion Eligible]]="Yes"),"Approved","Rejected")</f>
        <v>Rejected</v>
      </c>
      <c r="L7">
        <f>IF(Claims[[#This Row],[Validation Status]]="Approved",_xlfn.XLOOKUP(Claims[[#This Row],[Product]],Products[Product],Products[Cashback],0),0)</f>
        <v>0</v>
      </c>
      <c r="M7">
        <v>650</v>
      </c>
      <c r="N7" t="str">
        <f>IF(Claims[[#This Row],[Validation Status]]="Rejected","Cancelled",IF(MOD(Claims[[#This Row],[Sequence]],5)=0,"Pending","Paid"))</f>
        <v>Cancelled</v>
      </c>
      <c r="O7" s="2" t="str">
        <f>IF(Claims[[#This Row],[Payment Status]]="Paid",Claims[[#This Row],[Claim date]]+2+MOD(Claims[[#This Row],[Sequence]],6),"")</f>
        <v/>
      </c>
      <c r="P7" t="str">
        <f>IF(OR(Claims[[#This Row],[Payment Status]]&lt;&gt;"Paid",Claims[[#This Row],[Payment Date]]="",Claims[[#This Row],[Claim date]]=""),"",Claims[[#This Row],[Payment Date]]-Claims[[#This Row],[Claim date]])</f>
        <v/>
      </c>
    </row>
    <row r="8" spans="1:16" x14ac:dyDescent="0.25">
      <c r="A8" t="str">
        <f>"CLM-"&amp;TEXT(Claims[[#This Row],[Sequence]],"0000")</f>
        <v>CLM-0007</v>
      </c>
      <c r="B8" cm="1">
        <f t="array" ref="B8">ROW()-ROW(Claims[#Headers])</f>
        <v>7</v>
      </c>
      <c r="C8" t="s">
        <v>6</v>
      </c>
      <c r="D8" t="s">
        <v>58</v>
      </c>
      <c r="E8" t="s">
        <v>8</v>
      </c>
      <c r="F8" s="2">
        <f>DATE(2026,5,1)+MOD(Claims[[#This Row],[Sequence]]*7,61)</f>
        <v>46192</v>
      </c>
      <c r="G8" s="2">
        <f>Claims[[#This Row],[Purchase Date]]+1+MOD(Claims[[#This Row],[Sequence]]*3,14)</f>
        <v>46200</v>
      </c>
      <c r="H8" t="s">
        <v>35</v>
      </c>
      <c r="I8" t="s">
        <v>35</v>
      </c>
      <c r="J8" t="s">
        <v>35</v>
      </c>
      <c r="K8" t="str">
        <f>IF(AND(Claims[[#This Row],[Invoice Attached]]="Yes",Claims[[#This Row],[Serial Number Valid]]="Yes",Claims[[#This Row],[Promotion Eligible]]="Yes"),"Approved","Rejected")</f>
        <v>Approved</v>
      </c>
      <c r="L8">
        <f>IF(Claims[[#This Row],[Validation Status]]="Approved",_xlfn.XLOOKUP(Claims[[#This Row],[Product]],Products[Product],Products[Cashback],0),0)</f>
        <v>120</v>
      </c>
      <c r="M8">
        <v>1050</v>
      </c>
      <c r="N8" t="str">
        <f>IF(Claims[[#This Row],[Validation Status]]="Rejected","Cancelled",IF(MOD(Claims[[#This Row],[Sequence]],5)=0,"Pending","Paid"))</f>
        <v>Paid</v>
      </c>
      <c r="O8" s="2">
        <f>IF(Claims[[#This Row],[Payment Status]]="Paid",Claims[[#This Row],[Claim date]]+2+MOD(Claims[[#This Row],[Sequence]],6),"")</f>
        <v>46203</v>
      </c>
      <c r="P8">
        <f>IF(OR(Claims[[#This Row],[Payment Status]]&lt;&gt;"Paid",Claims[[#This Row],[Payment Date]]="",Claims[[#This Row],[Claim date]]=""),"",Claims[[#This Row],[Payment Date]]-Claims[[#This Row],[Claim date]])</f>
        <v>3</v>
      </c>
    </row>
    <row r="9" spans="1:16" x14ac:dyDescent="0.25">
      <c r="A9" t="str">
        <f>"CLM-"&amp;TEXT(Claims[[#This Row],[Sequence]],"0000")</f>
        <v>CLM-0008</v>
      </c>
      <c r="B9" cm="1">
        <f t="array" ref="B9">ROW()-ROW(Claims[#Headers])</f>
        <v>8</v>
      </c>
      <c r="C9" t="s">
        <v>7</v>
      </c>
      <c r="D9" t="s">
        <v>59</v>
      </c>
      <c r="E9" t="s">
        <v>21</v>
      </c>
      <c r="F9" s="2">
        <f>DATE(2026,5,1)+MOD(Claims[[#This Row],[Sequence]]*7,61)</f>
        <v>46199</v>
      </c>
      <c r="G9" s="2">
        <f>Claims[[#This Row],[Purchase Date]]+1+MOD(Claims[[#This Row],[Sequence]]*3,14)</f>
        <v>46210</v>
      </c>
      <c r="H9" t="s">
        <v>35</v>
      </c>
      <c r="I9" t="s">
        <v>35</v>
      </c>
      <c r="J9" t="s">
        <v>35</v>
      </c>
      <c r="K9" t="str">
        <f>IF(AND(Claims[[#This Row],[Invoice Attached]]="Yes",Claims[[#This Row],[Serial Number Valid]]="Yes",Claims[[#This Row],[Promotion Eligible]]="Yes"),"Approved","Rejected")</f>
        <v>Approved</v>
      </c>
      <c r="L9">
        <f>IF(Claims[[#This Row],[Validation Status]]="Approved",_xlfn.XLOOKUP(Claims[[#This Row],[Product]],Products[Product],Products[Cashback],0),0)</f>
        <v>250</v>
      </c>
      <c r="M9">
        <v>220</v>
      </c>
      <c r="N9" t="str">
        <f>IF(Claims[[#This Row],[Validation Status]]="Rejected","Cancelled",IF(MOD(Claims[[#This Row],[Sequence]],5)=0,"Pending","Paid"))</f>
        <v>Paid</v>
      </c>
      <c r="O9" s="2">
        <f>IF(Claims[[#This Row],[Payment Status]]="Paid",Claims[[#This Row],[Claim date]]+2+MOD(Claims[[#This Row],[Sequence]],6),"")</f>
        <v>46214</v>
      </c>
      <c r="P9">
        <f>IF(OR(Claims[[#This Row],[Payment Status]]&lt;&gt;"Paid",Claims[[#This Row],[Payment Date]]="",Claims[[#This Row],[Claim date]]=""),"",Claims[[#This Row],[Payment Date]]-Claims[[#This Row],[Claim date]])</f>
        <v>4</v>
      </c>
    </row>
    <row r="10" spans="1:16" x14ac:dyDescent="0.25">
      <c r="A10" t="str">
        <f>"CLM-"&amp;TEXT(Claims[[#This Row],[Sequence]],"0000")</f>
        <v>CLM-0009</v>
      </c>
      <c r="B10" cm="1">
        <f t="array" ref="B10">ROW()-ROW(Claims[#Headers])</f>
        <v>9</v>
      </c>
      <c r="C10" t="s">
        <v>9</v>
      </c>
      <c r="D10" t="s">
        <v>60</v>
      </c>
      <c r="E10" t="s">
        <v>15</v>
      </c>
      <c r="F10" s="2">
        <f>DATE(2026,5,1)+MOD(Claims[[#This Row],[Sequence]]*7,61)</f>
        <v>46145</v>
      </c>
      <c r="G10" s="2">
        <f>Claims[[#This Row],[Purchase Date]]+1+MOD(Claims[[#This Row],[Sequence]]*3,14)</f>
        <v>46159</v>
      </c>
      <c r="H10" t="s">
        <v>36</v>
      </c>
      <c r="I10" t="s">
        <v>35</v>
      </c>
      <c r="J10" t="s">
        <v>36</v>
      </c>
      <c r="K10" t="str">
        <f>IF(AND(Claims[[#This Row],[Invoice Attached]]="Yes",Claims[[#This Row],[Serial Number Valid]]="Yes",Claims[[#This Row],[Promotion Eligible]]="Yes"),"Approved","Rejected")</f>
        <v>Rejected</v>
      </c>
      <c r="L10">
        <f>IF(Claims[[#This Row],[Validation Status]]="Approved",_xlfn.XLOOKUP(Claims[[#This Row],[Product]],Products[Product],Products[Cashback],0),0)</f>
        <v>0</v>
      </c>
      <c r="M10">
        <v>1000</v>
      </c>
      <c r="N10" t="str">
        <f>IF(Claims[[#This Row],[Validation Status]]="Rejected","Cancelled",IF(MOD(Claims[[#This Row],[Sequence]],5)=0,"Pending","Paid"))</f>
        <v>Cancelled</v>
      </c>
      <c r="O10" s="2" t="str">
        <f>IF(Claims[[#This Row],[Payment Status]]="Paid",Claims[[#This Row],[Claim date]]+2+MOD(Claims[[#This Row],[Sequence]],6),"")</f>
        <v/>
      </c>
      <c r="P10" t="str">
        <f>IF(OR(Claims[[#This Row],[Payment Status]]&lt;&gt;"Paid",Claims[[#This Row],[Payment Date]]="",Claims[[#This Row],[Claim date]]=""),"",Claims[[#This Row],[Payment Date]]-Claims[[#This Row],[Claim date]])</f>
        <v/>
      </c>
    </row>
    <row r="11" spans="1:16" x14ac:dyDescent="0.25">
      <c r="A11" t="str">
        <f>"CLM-"&amp;TEXT(Claims[[#This Row],[Sequence]],"0000")</f>
        <v>CLM-0010</v>
      </c>
      <c r="B11" cm="1">
        <f t="array" ref="B11">ROW()-ROW(Claims[#Headers])</f>
        <v>10</v>
      </c>
      <c r="C11" t="s">
        <v>6</v>
      </c>
      <c r="D11" t="s">
        <v>61</v>
      </c>
      <c r="E11" t="s">
        <v>16</v>
      </c>
      <c r="F11" s="2">
        <f>DATE(2026,5,1)+MOD(Claims[[#This Row],[Sequence]]*7,61)</f>
        <v>46152</v>
      </c>
      <c r="G11" s="2">
        <f>Claims[[#This Row],[Purchase Date]]+1+MOD(Claims[[#This Row],[Sequence]]*3,14)</f>
        <v>46155</v>
      </c>
      <c r="H11" t="s">
        <v>36</v>
      </c>
      <c r="I11" t="s">
        <v>36</v>
      </c>
      <c r="J11" t="s">
        <v>36</v>
      </c>
      <c r="K11" t="str">
        <f>IF(AND(Claims[[#This Row],[Invoice Attached]]="Yes",Claims[[#This Row],[Serial Number Valid]]="Yes",Claims[[#This Row],[Promotion Eligible]]="Yes"),"Approved","Rejected")</f>
        <v>Rejected</v>
      </c>
      <c r="L11">
        <f>IF(Claims[[#This Row],[Validation Status]]="Approved",_xlfn.XLOOKUP(Claims[[#This Row],[Product]],Products[Product],Products[Cashback],0),0)</f>
        <v>0</v>
      </c>
      <c r="M11">
        <v>600</v>
      </c>
      <c r="N11" t="str">
        <f>IF(Claims[[#This Row],[Validation Status]]="Rejected","Cancelled",IF(MOD(Claims[[#This Row],[Sequence]],5)=0,"Pending","Paid"))</f>
        <v>Cancelled</v>
      </c>
      <c r="O11" s="2" t="str">
        <f>IF(Claims[[#This Row],[Payment Status]]="Paid",Claims[[#This Row],[Claim date]]+2+MOD(Claims[[#This Row],[Sequence]],6),"")</f>
        <v/>
      </c>
      <c r="P11" t="str">
        <f>IF(OR(Claims[[#This Row],[Payment Status]]&lt;&gt;"Paid",Claims[[#This Row],[Payment Date]]="",Claims[[#This Row],[Claim date]]=""),"",Claims[[#This Row],[Payment Date]]-Claims[[#This Row],[Claim date]])</f>
        <v/>
      </c>
    </row>
    <row r="12" spans="1:16" x14ac:dyDescent="0.25">
      <c r="A12" t="str">
        <f>"CLM-"&amp;TEXT(Claims[[#This Row],[Sequence]],"0000")</f>
        <v>CLM-0011</v>
      </c>
      <c r="B12" cm="1">
        <f t="array" ref="B12">ROW()-ROW(Claims[#Headers])</f>
        <v>11</v>
      </c>
      <c r="C12" t="s">
        <v>6</v>
      </c>
      <c r="D12" t="s">
        <v>57</v>
      </c>
      <c r="E12" t="s">
        <v>17</v>
      </c>
      <c r="F12" s="2">
        <f>DATE(2026,5,1)+MOD(Claims[[#This Row],[Sequence]]*7,61)</f>
        <v>46159</v>
      </c>
      <c r="G12" s="2">
        <f>Claims[[#This Row],[Purchase Date]]+1+MOD(Claims[[#This Row],[Sequence]]*3,14)</f>
        <v>46165</v>
      </c>
      <c r="H12" t="s">
        <v>35</v>
      </c>
      <c r="I12" t="s">
        <v>35</v>
      </c>
      <c r="J12" t="s">
        <v>35</v>
      </c>
      <c r="K12" t="str">
        <f>IF(AND(Claims[[#This Row],[Invoice Attached]]="Yes",Claims[[#This Row],[Serial Number Valid]]="Yes",Claims[[#This Row],[Promotion Eligible]]="Yes"),"Approved","Rejected")</f>
        <v>Approved</v>
      </c>
      <c r="L12">
        <f>IF(Claims[[#This Row],[Validation Status]]="Approved",_xlfn.XLOOKUP(Claims[[#This Row],[Product]],Products[Product],Products[Cashback],0),0)</f>
        <v>80</v>
      </c>
      <c r="M12">
        <v>1000</v>
      </c>
      <c r="N12" t="str">
        <f>IF(Claims[[#This Row],[Validation Status]]="Rejected","Cancelled",IF(MOD(Claims[[#This Row],[Sequence]],5)=0,"Pending","Paid"))</f>
        <v>Paid</v>
      </c>
      <c r="O12" s="2">
        <f>IF(Claims[[#This Row],[Payment Status]]="Paid",Claims[[#This Row],[Claim date]]+2+MOD(Claims[[#This Row],[Sequence]],6),"")</f>
        <v>46172</v>
      </c>
      <c r="P12">
        <f>IF(OR(Claims[[#This Row],[Payment Status]]&lt;&gt;"Paid",Claims[[#This Row],[Payment Date]]="",Claims[[#This Row],[Claim date]]=""),"",Claims[[#This Row],[Payment Date]]-Claims[[#This Row],[Claim date]])</f>
        <v>7</v>
      </c>
    </row>
    <row r="13" spans="1:16" x14ac:dyDescent="0.25">
      <c r="A13" t="str">
        <f>"CLM-"&amp;TEXT(Claims[[#This Row],[Sequence]],"0000")</f>
        <v>CLM-0012</v>
      </c>
      <c r="B13" cm="1">
        <f t="array" ref="B13">ROW()-ROW(Claims[#Headers])</f>
        <v>12</v>
      </c>
      <c r="C13" t="s">
        <v>7</v>
      </c>
      <c r="D13" t="s">
        <v>58</v>
      </c>
      <c r="E13" t="s">
        <v>18</v>
      </c>
      <c r="F13" s="2">
        <f>DATE(2026,5,1)+MOD(Claims[[#This Row],[Sequence]]*7,61)</f>
        <v>46166</v>
      </c>
      <c r="G13" s="2">
        <f>Claims[[#This Row],[Purchase Date]]+1+MOD(Claims[[#This Row],[Sequence]]*3,14)</f>
        <v>46175</v>
      </c>
      <c r="H13" t="s">
        <v>36</v>
      </c>
      <c r="I13" t="s">
        <v>35</v>
      </c>
      <c r="J13" t="s">
        <v>36</v>
      </c>
      <c r="K13" t="str">
        <f>IF(AND(Claims[[#This Row],[Invoice Attached]]="Yes",Claims[[#This Row],[Serial Number Valid]]="Yes",Claims[[#This Row],[Promotion Eligible]]="Yes"),"Approved","Rejected")</f>
        <v>Rejected</v>
      </c>
      <c r="L13">
        <f>IF(Claims[[#This Row],[Validation Status]]="Approved",_xlfn.XLOOKUP(Claims[[#This Row],[Product]],Products[Product],Products[Cashback],0),0)</f>
        <v>0</v>
      </c>
      <c r="M13">
        <v>600</v>
      </c>
      <c r="N13" t="str">
        <f>IF(Claims[[#This Row],[Validation Status]]="Rejected","Cancelled",IF(MOD(Claims[[#This Row],[Sequence]],5)=0,"Pending","Paid"))</f>
        <v>Cancelled</v>
      </c>
      <c r="O13" s="2" t="str">
        <f>IF(Claims[[#This Row],[Payment Status]]="Paid",Claims[[#This Row],[Claim date]]+2+MOD(Claims[[#This Row],[Sequence]],6),"")</f>
        <v/>
      </c>
      <c r="P13" t="str">
        <f>IF(OR(Claims[[#This Row],[Payment Status]]&lt;&gt;"Paid",Claims[[#This Row],[Payment Date]]="",Claims[[#This Row],[Claim date]]=""),"",Claims[[#This Row],[Payment Date]]-Claims[[#This Row],[Claim date]])</f>
        <v/>
      </c>
    </row>
    <row r="14" spans="1:16" x14ac:dyDescent="0.25">
      <c r="A14" t="str">
        <f>"CLM-"&amp;TEXT(Claims[[#This Row],[Sequence]],"0000")</f>
        <v>CLM-0013</v>
      </c>
      <c r="B14" cm="1">
        <f t="array" ref="B14">ROW()-ROW(Claims[#Headers])</f>
        <v>13</v>
      </c>
      <c r="C14" t="s">
        <v>9</v>
      </c>
      <c r="D14" t="s">
        <v>59</v>
      </c>
      <c r="E14" t="s">
        <v>19</v>
      </c>
      <c r="F14" s="2">
        <f>DATE(2026,5,1)+MOD(Claims[[#This Row],[Sequence]]*7,61)</f>
        <v>46173</v>
      </c>
      <c r="G14" s="2">
        <f>Claims[[#This Row],[Purchase Date]]+1+MOD(Claims[[#This Row],[Sequence]]*3,14)</f>
        <v>46185</v>
      </c>
      <c r="H14" t="s">
        <v>35</v>
      </c>
      <c r="I14" t="s">
        <v>36</v>
      </c>
      <c r="J14" t="s">
        <v>35</v>
      </c>
      <c r="K14" t="str">
        <f>IF(AND(Claims[[#This Row],[Invoice Attached]]="Yes",Claims[[#This Row],[Serial Number Valid]]="Yes",Claims[[#This Row],[Promotion Eligible]]="Yes"),"Approved","Rejected")</f>
        <v>Rejected</v>
      </c>
      <c r="L14">
        <f>IF(Claims[[#This Row],[Validation Status]]="Approved",_xlfn.XLOOKUP(Claims[[#This Row],[Product]],Products[Product],Products[Cashback],0),0)</f>
        <v>0</v>
      </c>
      <c r="M14">
        <v>1100</v>
      </c>
      <c r="N14" t="str">
        <f>IF(Claims[[#This Row],[Validation Status]]="Rejected","Cancelled",IF(MOD(Claims[[#This Row],[Sequence]],5)=0,"Pending","Paid"))</f>
        <v>Cancelled</v>
      </c>
      <c r="O14" s="2" t="str">
        <f>IF(Claims[[#This Row],[Payment Status]]="Paid",Claims[[#This Row],[Claim date]]+2+MOD(Claims[[#This Row],[Sequence]],6),"")</f>
        <v/>
      </c>
      <c r="P14" t="str">
        <f>IF(OR(Claims[[#This Row],[Payment Status]]&lt;&gt;"Paid",Claims[[#This Row],[Payment Date]]="",Claims[[#This Row],[Claim date]]=""),"",Claims[[#This Row],[Payment Date]]-Claims[[#This Row],[Claim date]])</f>
        <v/>
      </c>
    </row>
    <row r="15" spans="1:16" x14ac:dyDescent="0.25">
      <c r="A15" t="str">
        <f>"CLM-"&amp;TEXT(Claims[[#This Row],[Sequence]],"0000")</f>
        <v>CLM-0014</v>
      </c>
      <c r="B15" cm="1">
        <f t="array" ref="B15">ROW()-ROW(Claims[#Headers])</f>
        <v>14</v>
      </c>
      <c r="C15" t="s">
        <v>6</v>
      </c>
      <c r="D15" t="s">
        <v>60</v>
      </c>
      <c r="E15" t="s">
        <v>20</v>
      </c>
      <c r="F15" s="2">
        <f>DATE(2026,5,1)+MOD(Claims[[#This Row],[Sequence]]*7,61)</f>
        <v>46180</v>
      </c>
      <c r="G15" s="2">
        <f>Claims[[#This Row],[Purchase Date]]+1+MOD(Claims[[#This Row],[Sequence]]*3,14)</f>
        <v>46181</v>
      </c>
      <c r="H15" t="s">
        <v>35</v>
      </c>
      <c r="I15" t="s">
        <v>35</v>
      </c>
      <c r="J15" t="s">
        <v>35</v>
      </c>
      <c r="K15" t="str">
        <f>IF(AND(Claims[[#This Row],[Invoice Attached]]="Yes",Claims[[#This Row],[Serial Number Valid]]="Yes",Claims[[#This Row],[Promotion Eligible]]="Yes"),"Approved","Rejected")</f>
        <v>Approved</v>
      </c>
      <c r="L15">
        <f>IF(Claims[[#This Row],[Validation Status]]="Approved",_xlfn.XLOOKUP(Claims[[#This Row],[Product]],Products[Product],Products[Cashback],0),0)</f>
        <v>70</v>
      </c>
      <c r="M15">
        <v>1000</v>
      </c>
      <c r="N15" t="str">
        <f>IF(Claims[[#This Row],[Validation Status]]="Rejected","Cancelled",IF(MOD(Claims[[#This Row],[Sequence]],5)=0,"Pending","Paid"))</f>
        <v>Paid</v>
      </c>
      <c r="O15" s="2">
        <f>IF(Claims[[#This Row],[Payment Status]]="Paid",Claims[[#This Row],[Claim date]]+2+MOD(Claims[[#This Row],[Sequence]],6),"")</f>
        <v>46185</v>
      </c>
      <c r="P15">
        <f>IF(OR(Claims[[#This Row],[Payment Status]]&lt;&gt;"Paid",Claims[[#This Row],[Payment Date]]="",Claims[[#This Row],[Claim date]]=""),"",Claims[[#This Row],[Payment Date]]-Claims[[#This Row],[Claim date]])</f>
        <v>4</v>
      </c>
    </row>
    <row r="16" spans="1:16" x14ac:dyDescent="0.25">
      <c r="A16" t="str">
        <f>"CLM-"&amp;TEXT(Claims[[#This Row],[Sequence]],"0000")</f>
        <v>CLM-0015</v>
      </c>
      <c r="B16" cm="1">
        <f t="array" ref="B16">ROW()-ROW(Claims[#Headers])</f>
        <v>15</v>
      </c>
      <c r="C16" t="s">
        <v>7</v>
      </c>
      <c r="D16" t="s">
        <v>61</v>
      </c>
      <c r="E16" t="s">
        <v>8</v>
      </c>
      <c r="F16" s="2">
        <f>DATE(2026,5,1)+MOD(Claims[[#This Row],[Sequence]]*7,61)</f>
        <v>46187</v>
      </c>
      <c r="G16" s="2">
        <f>Claims[[#This Row],[Purchase Date]]+1+MOD(Claims[[#This Row],[Sequence]]*3,14)</f>
        <v>46191</v>
      </c>
      <c r="H16" t="s">
        <v>36</v>
      </c>
      <c r="I16" t="s">
        <v>35</v>
      </c>
      <c r="J16" t="s">
        <v>35</v>
      </c>
      <c r="K16" t="str">
        <f>IF(AND(Claims[[#This Row],[Invoice Attached]]="Yes",Claims[[#This Row],[Serial Number Valid]]="Yes",Claims[[#This Row],[Promotion Eligible]]="Yes"),"Approved","Rejected")</f>
        <v>Rejected</v>
      </c>
      <c r="L16">
        <f>IF(Claims[[#This Row],[Validation Status]]="Approved",_xlfn.XLOOKUP(Claims[[#This Row],[Product]],Products[Product],Products[Cashback],0),0)</f>
        <v>0</v>
      </c>
      <c r="M16">
        <v>200</v>
      </c>
      <c r="N16" t="str">
        <f>IF(Claims[[#This Row],[Validation Status]]="Rejected","Cancelled",IF(MOD(Claims[[#This Row],[Sequence]],5)=0,"Pending","Paid"))</f>
        <v>Cancelled</v>
      </c>
      <c r="O16" s="2" t="str">
        <f>IF(Claims[[#This Row],[Payment Status]]="Paid",Claims[[#This Row],[Claim date]]+2+MOD(Claims[[#This Row],[Sequence]],6),"")</f>
        <v/>
      </c>
      <c r="P16" t="str">
        <f>IF(OR(Claims[[#This Row],[Payment Status]]&lt;&gt;"Paid",Claims[[#This Row],[Payment Date]]="",Claims[[#This Row],[Claim date]]=""),"",Claims[[#This Row],[Payment Date]]-Claims[[#This Row],[Claim date]])</f>
        <v/>
      </c>
    </row>
    <row r="17" spans="1:16" x14ac:dyDescent="0.25">
      <c r="A17" t="str">
        <f>"CLM-"&amp;TEXT(Claims[[#This Row],[Sequence]],"0000")</f>
        <v>CLM-0016</v>
      </c>
      <c r="B17" cm="1">
        <f t="array" ref="B17">ROW()-ROW(Claims[#Headers])</f>
        <v>16</v>
      </c>
      <c r="C17" t="s">
        <v>9</v>
      </c>
      <c r="D17" t="s">
        <v>57</v>
      </c>
      <c r="E17" t="s">
        <v>21</v>
      </c>
      <c r="F17" s="2">
        <f>DATE(2026,5,1)+MOD(Claims[[#This Row],[Sequence]]*7,61)</f>
        <v>46194</v>
      </c>
      <c r="G17" s="2">
        <f>Claims[[#This Row],[Purchase Date]]+1+MOD(Claims[[#This Row],[Sequence]]*3,14)</f>
        <v>46201</v>
      </c>
      <c r="H17" t="s">
        <v>35</v>
      </c>
      <c r="I17" t="s">
        <v>36</v>
      </c>
      <c r="J17" t="s">
        <v>36</v>
      </c>
      <c r="K17" t="str">
        <f>IF(AND(Claims[[#This Row],[Invoice Attached]]="Yes",Claims[[#This Row],[Serial Number Valid]]="Yes",Claims[[#This Row],[Promotion Eligible]]="Yes"),"Approved","Rejected")</f>
        <v>Rejected</v>
      </c>
      <c r="L17">
        <f>IF(Claims[[#This Row],[Validation Status]]="Approved",_xlfn.XLOOKUP(Claims[[#This Row],[Product]],Products[Product],Products[Cashback],0),0)</f>
        <v>0</v>
      </c>
      <c r="M17">
        <v>650</v>
      </c>
      <c r="N17" t="str">
        <f>IF(Claims[[#This Row],[Validation Status]]="Rejected","Cancelled",IF(MOD(Claims[[#This Row],[Sequence]],5)=0,"Pending","Paid"))</f>
        <v>Cancelled</v>
      </c>
      <c r="O17" s="2" t="str">
        <f>IF(Claims[[#This Row],[Payment Status]]="Paid",Claims[[#This Row],[Claim date]]+2+MOD(Claims[[#This Row],[Sequence]],6),"")</f>
        <v/>
      </c>
      <c r="P17" t="str">
        <f>IF(OR(Claims[[#This Row],[Payment Status]]&lt;&gt;"Paid",Claims[[#This Row],[Payment Date]]="",Claims[[#This Row],[Claim date]]=""),"",Claims[[#This Row],[Payment Date]]-Claims[[#This Row],[Claim date]])</f>
        <v/>
      </c>
    </row>
    <row r="18" spans="1:16" x14ac:dyDescent="0.25">
      <c r="A18" t="str">
        <f>"CLM-"&amp;TEXT(Claims[[#This Row],[Sequence]],"0000")</f>
        <v>CLM-0017</v>
      </c>
      <c r="B18" cm="1">
        <f t="array" ref="B18">ROW()-ROW(Claims[#Headers])</f>
        <v>17</v>
      </c>
      <c r="C18" t="s">
        <v>6</v>
      </c>
      <c r="D18" t="s">
        <v>58</v>
      </c>
      <c r="E18" t="s">
        <v>15</v>
      </c>
      <c r="F18" s="2">
        <f>DATE(2026,5,1)+MOD(Claims[[#This Row],[Sequence]]*7,61)</f>
        <v>46201</v>
      </c>
      <c r="G18" s="2">
        <f>Claims[[#This Row],[Purchase Date]]+1+MOD(Claims[[#This Row],[Sequence]]*3,14)</f>
        <v>46211</v>
      </c>
      <c r="H18" t="s">
        <v>35</v>
      </c>
      <c r="I18" t="s">
        <v>35</v>
      </c>
      <c r="J18" t="s">
        <v>35</v>
      </c>
      <c r="K18" t="str">
        <f>IF(AND(Claims[[#This Row],[Invoice Attached]]="Yes",Claims[[#This Row],[Serial Number Valid]]="Yes",Claims[[#This Row],[Promotion Eligible]]="Yes"),"Approved","Rejected")</f>
        <v>Approved</v>
      </c>
      <c r="L18">
        <f>IF(Claims[[#This Row],[Validation Status]]="Approved",_xlfn.XLOOKUP(Claims[[#This Row],[Product]],Products[Product],Products[Cashback],0),0)</f>
        <v>150</v>
      </c>
      <c r="M18">
        <v>1050</v>
      </c>
      <c r="N18" t="str">
        <f>IF(Claims[[#This Row],[Validation Status]]="Rejected","Cancelled",IF(MOD(Claims[[#This Row],[Sequence]],5)=0,"Pending","Paid"))</f>
        <v>Paid</v>
      </c>
      <c r="O18" s="2">
        <f>IF(Claims[[#This Row],[Payment Status]]="Paid",Claims[[#This Row],[Claim date]]+2+MOD(Claims[[#This Row],[Sequence]],6),"")</f>
        <v>46218</v>
      </c>
      <c r="P18">
        <f>IF(OR(Claims[[#This Row],[Payment Status]]&lt;&gt;"Paid",Claims[[#This Row],[Payment Date]]="",Claims[[#This Row],[Claim date]]=""),"",Claims[[#This Row],[Payment Date]]-Claims[[#This Row],[Claim date]])</f>
        <v>7</v>
      </c>
    </row>
    <row r="19" spans="1:16" x14ac:dyDescent="0.25">
      <c r="A19" t="str">
        <f>"CLM-"&amp;TEXT(Claims[[#This Row],[Sequence]],"0000")</f>
        <v>CLM-0018</v>
      </c>
      <c r="B19" cm="1">
        <f t="array" ref="B19">ROW()-ROW(Claims[#Headers])</f>
        <v>18</v>
      </c>
      <c r="C19" t="s">
        <v>7</v>
      </c>
      <c r="D19" t="s">
        <v>59</v>
      </c>
      <c r="E19" t="s">
        <v>16</v>
      </c>
      <c r="F19" s="2">
        <f>DATE(2026,5,1)+MOD(Claims[[#This Row],[Sequence]]*7,61)</f>
        <v>46147</v>
      </c>
      <c r="G19" s="2">
        <f>Claims[[#This Row],[Purchase Date]]+1+MOD(Claims[[#This Row],[Sequence]]*3,14)</f>
        <v>46160</v>
      </c>
      <c r="H19" t="s">
        <v>35</v>
      </c>
      <c r="I19" t="s">
        <v>35</v>
      </c>
      <c r="J19" t="s">
        <v>35</v>
      </c>
      <c r="K19" t="str">
        <f>IF(AND(Claims[[#This Row],[Invoice Attached]]="Yes",Claims[[#This Row],[Serial Number Valid]]="Yes",Claims[[#This Row],[Promotion Eligible]]="Yes"),"Approved","Rejected")</f>
        <v>Approved</v>
      </c>
      <c r="L19">
        <f>IF(Claims[[#This Row],[Validation Status]]="Approved",_xlfn.XLOOKUP(Claims[[#This Row],[Product]],Products[Product],Products[Cashback],0),0)</f>
        <v>200</v>
      </c>
      <c r="M19">
        <v>220</v>
      </c>
      <c r="N19" t="str">
        <f>IF(Claims[[#This Row],[Validation Status]]="Rejected","Cancelled",IF(MOD(Claims[[#This Row],[Sequence]],5)=0,"Pending","Paid"))</f>
        <v>Paid</v>
      </c>
      <c r="O19" s="2">
        <f>IF(Claims[[#This Row],[Payment Status]]="Paid",Claims[[#This Row],[Claim date]]+2+MOD(Claims[[#This Row],[Sequence]],6),"")</f>
        <v>46162</v>
      </c>
      <c r="P19">
        <f>IF(OR(Claims[[#This Row],[Payment Status]]&lt;&gt;"Paid",Claims[[#This Row],[Payment Date]]="",Claims[[#This Row],[Claim date]]=""),"",Claims[[#This Row],[Payment Date]]-Claims[[#This Row],[Claim date]])</f>
        <v>2</v>
      </c>
    </row>
    <row r="20" spans="1:16" x14ac:dyDescent="0.25">
      <c r="A20" t="str">
        <f>"CLM-"&amp;TEXT(Claims[[#This Row],[Sequence]],"0000")</f>
        <v>CLM-0019</v>
      </c>
      <c r="B20" cm="1">
        <f t="array" ref="B20">ROW()-ROW(Claims[#Headers])</f>
        <v>19</v>
      </c>
      <c r="C20" t="s">
        <v>9</v>
      </c>
      <c r="D20" t="s">
        <v>60</v>
      </c>
      <c r="E20" t="s">
        <v>17</v>
      </c>
      <c r="F20" s="2">
        <f>DATE(2026,5,1)+MOD(Claims[[#This Row],[Sequence]]*7,61)</f>
        <v>46154</v>
      </c>
      <c r="G20" s="2">
        <f>Claims[[#This Row],[Purchase Date]]+1+MOD(Claims[[#This Row],[Sequence]]*3,14)</f>
        <v>46156</v>
      </c>
      <c r="H20" t="s">
        <v>36</v>
      </c>
      <c r="I20" t="s">
        <v>35</v>
      </c>
      <c r="J20" t="s">
        <v>36</v>
      </c>
      <c r="K20" t="str">
        <f>IF(AND(Claims[[#This Row],[Invoice Attached]]="Yes",Claims[[#This Row],[Serial Number Valid]]="Yes",Claims[[#This Row],[Promotion Eligible]]="Yes"),"Approved","Rejected")</f>
        <v>Rejected</v>
      </c>
      <c r="L20">
        <f>IF(Claims[[#This Row],[Validation Status]]="Approved",_xlfn.XLOOKUP(Claims[[#This Row],[Product]],Products[Product],Products[Cashback],0),0)</f>
        <v>0</v>
      </c>
      <c r="M20">
        <v>1000</v>
      </c>
      <c r="N20" t="str">
        <f>IF(Claims[[#This Row],[Validation Status]]="Rejected","Cancelled",IF(MOD(Claims[[#This Row],[Sequence]],5)=0,"Pending","Paid"))</f>
        <v>Cancelled</v>
      </c>
      <c r="O20" s="2" t="str">
        <f>IF(Claims[[#This Row],[Payment Status]]="Paid",Claims[[#This Row],[Claim date]]+2+MOD(Claims[[#This Row],[Sequence]],6),"")</f>
        <v/>
      </c>
      <c r="P20" t="str">
        <f>IF(OR(Claims[[#This Row],[Payment Status]]&lt;&gt;"Paid",Claims[[#This Row],[Payment Date]]="",Claims[[#This Row],[Claim date]]=""),"",Claims[[#This Row],[Payment Date]]-Claims[[#This Row],[Claim date]])</f>
        <v/>
      </c>
    </row>
    <row r="21" spans="1:16" x14ac:dyDescent="0.25">
      <c r="A21" t="str">
        <f>"CLM-"&amp;TEXT(Claims[[#This Row],[Sequence]],"0000")</f>
        <v>CLM-0020</v>
      </c>
      <c r="B21" cm="1">
        <f t="array" ref="B21">ROW()-ROW(Claims[#Headers])</f>
        <v>20</v>
      </c>
      <c r="C21" t="s">
        <v>6</v>
      </c>
      <c r="D21" t="s">
        <v>61</v>
      </c>
      <c r="E21" t="s">
        <v>18</v>
      </c>
      <c r="F21" s="2">
        <f>DATE(2026,5,1)+MOD(Claims[[#This Row],[Sequence]]*7,61)</f>
        <v>46161</v>
      </c>
      <c r="G21" s="2">
        <f>Claims[[#This Row],[Purchase Date]]+1+MOD(Claims[[#This Row],[Sequence]]*3,14)</f>
        <v>46166</v>
      </c>
      <c r="H21" t="s">
        <v>36</v>
      </c>
      <c r="I21" t="s">
        <v>36</v>
      </c>
      <c r="J21" t="s">
        <v>36</v>
      </c>
      <c r="K21" t="str">
        <f>IF(AND(Claims[[#This Row],[Invoice Attached]]="Yes",Claims[[#This Row],[Serial Number Valid]]="Yes",Claims[[#This Row],[Promotion Eligible]]="Yes"),"Approved","Rejected")</f>
        <v>Rejected</v>
      </c>
      <c r="L21">
        <f>IF(Claims[[#This Row],[Validation Status]]="Approved",_xlfn.XLOOKUP(Claims[[#This Row],[Product]],Products[Product],Products[Cashback],0),0)</f>
        <v>0</v>
      </c>
      <c r="M21">
        <v>600</v>
      </c>
      <c r="N21" t="str">
        <f>IF(Claims[[#This Row],[Validation Status]]="Rejected","Cancelled",IF(MOD(Claims[[#This Row],[Sequence]],5)=0,"Pending","Paid"))</f>
        <v>Cancelled</v>
      </c>
      <c r="O21" s="2" t="str">
        <f>IF(Claims[[#This Row],[Payment Status]]="Paid",Claims[[#This Row],[Claim date]]+2+MOD(Claims[[#This Row],[Sequence]],6),"")</f>
        <v/>
      </c>
      <c r="P21" t="str">
        <f>IF(OR(Claims[[#This Row],[Payment Status]]&lt;&gt;"Paid",Claims[[#This Row],[Payment Date]]="",Claims[[#This Row],[Claim date]]=""),"",Claims[[#This Row],[Payment Date]]-Claims[[#This Row],[Claim date]])</f>
        <v/>
      </c>
    </row>
    <row r="22" spans="1:16" x14ac:dyDescent="0.25">
      <c r="A22" t="str">
        <f>"CLM-"&amp;TEXT(Claims[[#This Row],[Sequence]],"0000")</f>
        <v>CLM-0021</v>
      </c>
      <c r="B22" cm="1">
        <f t="array" ref="B22">ROW()-ROW(Claims[#Headers])</f>
        <v>21</v>
      </c>
      <c r="C22" t="s">
        <v>6</v>
      </c>
      <c r="D22" t="s">
        <v>57</v>
      </c>
      <c r="E22" t="s">
        <v>19</v>
      </c>
      <c r="F22" s="2">
        <f>DATE(2026,5,1)+MOD(Claims[[#This Row],[Sequence]]*7,61)</f>
        <v>46168</v>
      </c>
      <c r="G22" s="2">
        <f>Claims[[#This Row],[Purchase Date]]+1+MOD(Claims[[#This Row],[Sequence]]*3,14)</f>
        <v>46176</v>
      </c>
      <c r="H22" t="s">
        <v>35</v>
      </c>
      <c r="I22" t="s">
        <v>35</v>
      </c>
      <c r="J22" t="s">
        <v>35</v>
      </c>
      <c r="K22" t="str">
        <f>IF(AND(Claims[[#This Row],[Invoice Attached]]="Yes",Claims[[#This Row],[Serial Number Valid]]="Yes",Claims[[#This Row],[Promotion Eligible]]="Yes"),"Approved","Rejected")</f>
        <v>Approved</v>
      </c>
      <c r="L22">
        <f>IF(Claims[[#This Row],[Validation Status]]="Approved",_xlfn.XLOOKUP(Claims[[#This Row],[Product]],Products[Product],Products[Cashback],0),0)</f>
        <v>50</v>
      </c>
      <c r="M22">
        <v>1000</v>
      </c>
      <c r="N22" t="str">
        <f>IF(Claims[[#This Row],[Validation Status]]="Rejected","Cancelled",IF(MOD(Claims[[#This Row],[Sequence]],5)=0,"Pending","Paid"))</f>
        <v>Paid</v>
      </c>
      <c r="O22" s="2">
        <f>IF(Claims[[#This Row],[Payment Status]]="Paid",Claims[[#This Row],[Claim date]]+2+MOD(Claims[[#This Row],[Sequence]],6),"")</f>
        <v>46181</v>
      </c>
      <c r="P22">
        <f>IF(OR(Claims[[#This Row],[Payment Status]]&lt;&gt;"Paid",Claims[[#This Row],[Payment Date]]="",Claims[[#This Row],[Claim date]]=""),"",Claims[[#This Row],[Payment Date]]-Claims[[#This Row],[Claim date]])</f>
        <v>5</v>
      </c>
    </row>
    <row r="23" spans="1:16" x14ac:dyDescent="0.25">
      <c r="A23" t="str">
        <f>"CLM-"&amp;TEXT(Claims[[#This Row],[Sequence]],"0000")</f>
        <v>CLM-0022</v>
      </c>
      <c r="B23" cm="1">
        <f t="array" ref="B23">ROW()-ROW(Claims[#Headers])</f>
        <v>22</v>
      </c>
      <c r="C23" t="s">
        <v>7</v>
      </c>
      <c r="D23" t="s">
        <v>58</v>
      </c>
      <c r="E23" t="s">
        <v>20</v>
      </c>
      <c r="F23" s="2">
        <f>DATE(2026,5,1)+MOD(Claims[[#This Row],[Sequence]]*7,61)</f>
        <v>46175</v>
      </c>
      <c r="G23" s="2">
        <f>Claims[[#This Row],[Purchase Date]]+1+MOD(Claims[[#This Row],[Sequence]]*3,14)</f>
        <v>46186</v>
      </c>
      <c r="H23" t="s">
        <v>36</v>
      </c>
      <c r="I23" t="s">
        <v>35</v>
      </c>
      <c r="J23" t="s">
        <v>36</v>
      </c>
      <c r="K23" t="str">
        <f>IF(AND(Claims[[#This Row],[Invoice Attached]]="Yes",Claims[[#This Row],[Serial Number Valid]]="Yes",Claims[[#This Row],[Promotion Eligible]]="Yes"),"Approved","Rejected")</f>
        <v>Rejected</v>
      </c>
      <c r="L23">
        <f>IF(Claims[[#This Row],[Validation Status]]="Approved",_xlfn.XLOOKUP(Claims[[#This Row],[Product]],Products[Product],Products[Cashback],0),0)</f>
        <v>0</v>
      </c>
      <c r="M23">
        <v>600</v>
      </c>
      <c r="N23" t="str">
        <f>IF(Claims[[#This Row],[Validation Status]]="Rejected","Cancelled",IF(MOD(Claims[[#This Row],[Sequence]],5)=0,"Pending","Paid"))</f>
        <v>Cancelled</v>
      </c>
      <c r="O23" s="2" t="str">
        <f>IF(Claims[[#This Row],[Payment Status]]="Paid",Claims[[#This Row],[Claim date]]+2+MOD(Claims[[#This Row],[Sequence]],6),"")</f>
        <v/>
      </c>
      <c r="P23" t="str">
        <f>IF(OR(Claims[[#This Row],[Payment Status]]&lt;&gt;"Paid",Claims[[#This Row],[Payment Date]]="",Claims[[#This Row],[Claim date]]=""),"",Claims[[#This Row],[Payment Date]]-Claims[[#This Row],[Claim date]])</f>
        <v/>
      </c>
    </row>
    <row r="24" spans="1:16" x14ac:dyDescent="0.25">
      <c r="A24" t="str">
        <f>"CLM-"&amp;TEXT(Claims[[#This Row],[Sequence]],"0000")</f>
        <v>CLM-0023</v>
      </c>
      <c r="B24" cm="1">
        <f t="array" ref="B24">ROW()-ROW(Claims[#Headers])</f>
        <v>23</v>
      </c>
      <c r="C24" t="s">
        <v>9</v>
      </c>
      <c r="D24" t="s">
        <v>59</v>
      </c>
      <c r="E24" t="s">
        <v>8</v>
      </c>
      <c r="F24" s="2">
        <f>DATE(2026,5,1)+MOD(Claims[[#This Row],[Sequence]]*7,61)</f>
        <v>46182</v>
      </c>
      <c r="G24" s="2">
        <f>Claims[[#This Row],[Purchase Date]]+1+MOD(Claims[[#This Row],[Sequence]]*3,14)</f>
        <v>46196</v>
      </c>
      <c r="H24" t="s">
        <v>35</v>
      </c>
      <c r="I24" t="s">
        <v>36</v>
      </c>
      <c r="J24" t="s">
        <v>35</v>
      </c>
      <c r="K24" t="str">
        <f>IF(AND(Claims[[#This Row],[Invoice Attached]]="Yes",Claims[[#This Row],[Serial Number Valid]]="Yes",Claims[[#This Row],[Promotion Eligible]]="Yes"),"Approved","Rejected")</f>
        <v>Rejected</v>
      </c>
      <c r="L24">
        <f>IF(Claims[[#This Row],[Validation Status]]="Approved",_xlfn.XLOOKUP(Claims[[#This Row],[Product]],Products[Product],Products[Cashback],0),0)</f>
        <v>0</v>
      </c>
      <c r="M24">
        <v>1100</v>
      </c>
      <c r="N24" t="str">
        <f>IF(Claims[[#This Row],[Validation Status]]="Rejected","Cancelled",IF(MOD(Claims[[#This Row],[Sequence]],5)=0,"Pending","Paid"))</f>
        <v>Cancelled</v>
      </c>
      <c r="O24" s="2" t="str">
        <f>IF(Claims[[#This Row],[Payment Status]]="Paid",Claims[[#This Row],[Claim date]]+2+MOD(Claims[[#This Row],[Sequence]],6),"")</f>
        <v/>
      </c>
      <c r="P24" t="str">
        <f>IF(OR(Claims[[#This Row],[Payment Status]]&lt;&gt;"Paid",Claims[[#This Row],[Payment Date]]="",Claims[[#This Row],[Claim date]]=""),"",Claims[[#This Row],[Payment Date]]-Claims[[#This Row],[Claim date]])</f>
        <v/>
      </c>
    </row>
    <row r="25" spans="1:16" x14ac:dyDescent="0.25">
      <c r="A25" t="str">
        <f>"CLM-"&amp;TEXT(Claims[[#This Row],[Sequence]],"0000")</f>
        <v>CLM-0024</v>
      </c>
      <c r="B25" cm="1">
        <f t="array" ref="B25">ROW()-ROW(Claims[#Headers])</f>
        <v>24</v>
      </c>
      <c r="C25" t="s">
        <v>6</v>
      </c>
      <c r="D25" t="s">
        <v>60</v>
      </c>
      <c r="E25" t="s">
        <v>21</v>
      </c>
      <c r="F25" s="2">
        <f>DATE(2026,5,1)+MOD(Claims[[#This Row],[Sequence]]*7,61)</f>
        <v>46189</v>
      </c>
      <c r="G25" s="2">
        <f>Claims[[#This Row],[Purchase Date]]+1+MOD(Claims[[#This Row],[Sequence]]*3,14)</f>
        <v>46192</v>
      </c>
      <c r="H25" t="s">
        <v>35</v>
      </c>
      <c r="I25" t="s">
        <v>35</v>
      </c>
      <c r="J25" t="s">
        <v>35</v>
      </c>
      <c r="K25" t="str">
        <f>IF(AND(Claims[[#This Row],[Invoice Attached]]="Yes",Claims[[#This Row],[Serial Number Valid]]="Yes",Claims[[#This Row],[Promotion Eligible]]="Yes"),"Approved","Rejected")</f>
        <v>Approved</v>
      </c>
      <c r="L25">
        <f>IF(Claims[[#This Row],[Validation Status]]="Approved",_xlfn.XLOOKUP(Claims[[#This Row],[Product]],Products[Product],Products[Cashback],0),0)</f>
        <v>250</v>
      </c>
      <c r="M25">
        <v>1000</v>
      </c>
      <c r="N25" t="str">
        <f>IF(Claims[[#This Row],[Validation Status]]="Rejected","Cancelled",IF(MOD(Claims[[#This Row],[Sequence]],5)=0,"Pending","Paid"))</f>
        <v>Paid</v>
      </c>
      <c r="O25" s="2">
        <f>IF(Claims[[#This Row],[Payment Status]]="Paid",Claims[[#This Row],[Claim date]]+2+MOD(Claims[[#This Row],[Sequence]],6),"")</f>
        <v>46194</v>
      </c>
      <c r="P25">
        <f>IF(OR(Claims[[#This Row],[Payment Status]]&lt;&gt;"Paid",Claims[[#This Row],[Payment Date]]="",Claims[[#This Row],[Claim date]]=""),"",Claims[[#This Row],[Payment Date]]-Claims[[#This Row],[Claim date]])</f>
        <v>2</v>
      </c>
    </row>
    <row r="26" spans="1:16" x14ac:dyDescent="0.25">
      <c r="A26" t="str">
        <f>"CLM-"&amp;TEXT(Claims[[#This Row],[Sequence]],"0000")</f>
        <v>CLM-0025</v>
      </c>
      <c r="B26" cm="1">
        <f t="array" ref="B26">ROW()-ROW(Claims[#Headers])</f>
        <v>25</v>
      </c>
      <c r="C26" t="s">
        <v>7</v>
      </c>
      <c r="D26" t="s">
        <v>61</v>
      </c>
      <c r="E26" t="s">
        <v>15</v>
      </c>
      <c r="F26" s="2">
        <f>DATE(2026,5,1)+MOD(Claims[[#This Row],[Sequence]]*7,61)</f>
        <v>46196</v>
      </c>
      <c r="G26" s="2">
        <f>Claims[[#This Row],[Purchase Date]]+1+MOD(Claims[[#This Row],[Sequence]]*3,14)</f>
        <v>46202</v>
      </c>
      <c r="H26" t="s">
        <v>36</v>
      </c>
      <c r="I26" t="s">
        <v>35</v>
      </c>
      <c r="J26" t="s">
        <v>35</v>
      </c>
      <c r="K26" t="str">
        <f>IF(AND(Claims[[#This Row],[Invoice Attached]]="Yes",Claims[[#This Row],[Serial Number Valid]]="Yes",Claims[[#This Row],[Promotion Eligible]]="Yes"),"Approved","Rejected")</f>
        <v>Rejected</v>
      </c>
      <c r="L26">
        <f>IF(Claims[[#This Row],[Validation Status]]="Approved",_xlfn.XLOOKUP(Claims[[#This Row],[Product]],Products[Product],Products[Cashback],0),0)</f>
        <v>0</v>
      </c>
      <c r="M26">
        <v>200</v>
      </c>
      <c r="N26" t="str">
        <f>IF(Claims[[#This Row],[Validation Status]]="Rejected","Cancelled",IF(MOD(Claims[[#This Row],[Sequence]],5)=0,"Pending","Paid"))</f>
        <v>Cancelled</v>
      </c>
      <c r="O26" s="2" t="str">
        <f>IF(Claims[[#This Row],[Payment Status]]="Paid",Claims[[#This Row],[Claim date]]+2+MOD(Claims[[#This Row],[Sequence]],6),"")</f>
        <v/>
      </c>
      <c r="P26" t="str">
        <f>IF(OR(Claims[[#This Row],[Payment Status]]&lt;&gt;"Paid",Claims[[#This Row],[Payment Date]]="",Claims[[#This Row],[Claim date]]=""),"",Claims[[#This Row],[Payment Date]]-Claims[[#This Row],[Claim date]])</f>
        <v/>
      </c>
    </row>
    <row r="27" spans="1:16" x14ac:dyDescent="0.25">
      <c r="A27" t="str">
        <f>"CLM-"&amp;TEXT(Claims[[#This Row],[Sequence]],"0000")</f>
        <v>CLM-0026</v>
      </c>
      <c r="B27" cm="1">
        <f t="array" ref="B27">ROW()-ROW(Claims[#Headers])</f>
        <v>26</v>
      </c>
      <c r="C27" t="s">
        <v>9</v>
      </c>
      <c r="D27" t="s">
        <v>57</v>
      </c>
      <c r="E27" t="s">
        <v>16</v>
      </c>
      <c r="F27" s="2">
        <f>DATE(2026,5,1)+MOD(Claims[[#This Row],[Sequence]]*7,61)</f>
        <v>46203</v>
      </c>
      <c r="G27" s="2">
        <f>Claims[[#This Row],[Purchase Date]]+1+MOD(Claims[[#This Row],[Sequence]]*3,14)</f>
        <v>46212</v>
      </c>
      <c r="H27" t="s">
        <v>35</v>
      </c>
      <c r="I27" t="s">
        <v>36</v>
      </c>
      <c r="J27" t="s">
        <v>36</v>
      </c>
      <c r="K27" t="str">
        <f>IF(AND(Claims[[#This Row],[Invoice Attached]]="Yes",Claims[[#This Row],[Serial Number Valid]]="Yes",Claims[[#This Row],[Promotion Eligible]]="Yes"),"Approved","Rejected")</f>
        <v>Rejected</v>
      </c>
      <c r="L27">
        <f>IF(Claims[[#This Row],[Validation Status]]="Approved",_xlfn.XLOOKUP(Claims[[#This Row],[Product]],Products[Product],Products[Cashback],0),0)</f>
        <v>0</v>
      </c>
      <c r="M27">
        <v>650</v>
      </c>
      <c r="N27" t="str">
        <f>IF(Claims[[#This Row],[Validation Status]]="Rejected","Cancelled",IF(MOD(Claims[[#This Row],[Sequence]],5)=0,"Pending","Paid"))</f>
        <v>Cancelled</v>
      </c>
      <c r="O27" s="2" t="str">
        <f>IF(Claims[[#This Row],[Payment Status]]="Paid",Claims[[#This Row],[Claim date]]+2+MOD(Claims[[#This Row],[Sequence]],6),"")</f>
        <v/>
      </c>
      <c r="P27" t="str">
        <f>IF(OR(Claims[[#This Row],[Payment Status]]&lt;&gt;"Paid",Claims[[#This Row],[Payment Date]]="",Claims[[#This Row],[Claim date]]=""),"",Claims[[#This Row],[Payment Date]]-Claims[[#This Row],[Claim date]])</f>
        <v/>
      </c>
    </row>
    <row r="28" spans="1:16" x14ac:dyDescent="0.25">
      <c r="A28" t="str">
        <f>"CLM-"&amp;TEXT(Claims[[#This Row],[Sequence]],"0000")</f>
        <v>CLM-0027</v>
      </c>
      <c r="B28" cm="1">
        <f t="array" ref="B28">ROW()-ROW(Claims[#Headers])</f>
        <v>27</v>
      </c>
      <c r="C28" t="s">
        <v>6</v>
      </c>
      <c r="D28" t="s">
        <v>58</v>
      </c>
      <c r="E28" t="s">
        <v>17</v>
      </c>
      <c r="F28" s="2">
        <f>DATE(2026,5,1)+MOD(Claims[[#This Row],[Sequence]]*7,61)</f>
        <v>46149</v>
      </c>
      <c r="G28" s="2">
        <f>Claims[[#This Row],[Purchase Date]]+1+MOD(Claims[[#This Row],[Sequence]]*3,14)</f>
        <v>46161</v>
      </c>
      <c r="H28" t="s">
        <v>35</v>
      </c>
      <c r="I28" t="s">
        <v>35</v>
      </c>
      <c r="J28" t="s">
        <v>35</v>
      </c>
      <c r="K28" t="str">
        <f>IF(AND(Claims[[#This Row],[Invoice Attached]]="Yes",Claims[[#This Row],[Serial Number Valid]]="Yes",Claims[[#This Row],[Promotion Eligible]]="Yes"),"Approved","Rejected")</f>
        <v>Approved</v>
      </c>
      <c r="L28">
        <f>IF(Claims[[#This Row],[Validation Status]]="Approved",_xlfn.XLOOKUP(Claims[[#This Row],[Product]],Products[Product],Products[Cashback],0),0)</f>
        <v>80</v>
      </c>
      <c r="M28">
        <v>1050</v>
      </c>
      <c r="N28" t="str">
        <f>IF(Claims[[#This Row],[Validation Status]]="Rejected","Cancelled",IF(MOD(Claims[[#This Row],[Sequence]],5)=0,"Pending","Paid"))</f>
        <v>Paid</v>
      </c>
      <c r="O28" s="2">
        <f>IF(Claims[[#This Row],[Payment Status]]="Paid",Claims[[#This Row],[Claim date]]+2+MOD(Claims[[#This Row],[Sequence]],6),"")</f>
        <v>46166</v>
      </c>
      <c r="P28">
        <f>IF(OR(Claims[[#This Row],[Payment Status]]&lt;&gt;"Paid",Claims[[#This Row],[Payment Date]]="",Claims[[#This Row],[Claim date]]=""),"",Claims[[#This Row],[Payment Date]]-Claims[[#This Row],[Claim date]])</f>
        <v>5</v>
      </c>
    </row>
    <row r="29" spans="1:16" x14ac:dyDescent="0.25">
      <c r="A29" t="str">
        <f>"CLM-"&amp;TEXT(Claims[[#This Row],[Sequence]],"0000")</f>
        <v>CLM-0028</v>
      </c>
      <c r="B29" cm="1">
        <f t="array" ref="B29">ROW()-ROW(Claims[#Headers])</f>
        <v>28</v>
      </c>
      <c r="C29" t="s">
        <v>7</v>
      </c>
      <c r="D29" t="s">
        <v>59</v>
      </c>
      <c r="E29" t="s">
        <v>18</v>
      </c>
      <c r="F29" s="2">
        <f>DATE(2026,5,1)+MOD(Claims[[#This Row],[Sequence]]*7,61)</f>
        <v>46156</v>
      </c>
      <c r="G29" s="2">
        <f>Claims[[#This Row],[Purchase Date]]+1+MOD(Claims[[#This Row],[Sequence]]*3,14)</f>
        <v>46157</v>
      </c>
      <c r="H29" t="s">
        <v>35</v>
      </c>
      <c r="I29" t="s">
        <v>35</v>
      </c>
      <c r="J29" t="s">
        <v>35</v>
      </c>
      <c r="K29" t="str">
        <f>IF(AND(Claims[[#This Row],[Invoice Attached]]="Yes",Claims[[#This Row],[Serial Number Valid]]="Yes",Claims[[#This Row],[Promotion Eligible]]="Yes"),"Approved","Rejected")</f>
        <v>Approved</v>
      </c>
      <c r="L29">
        <f>IF(Claims[[#This Row],[Validation Status]]="Approved",_xlfn.XLOOKUP(Claims[[#This Row],[Product]],Products[Product],Products[Cashback],0),0)</f>
        <v>60</v>
      </c>
      <c r="M29">
        <v>220</v>
      </c>
      <c r="N29" t="str">
        <f>IF(Claims[[#This Row],[Validation Status]]="Rejected","Cancelled",IF(MOD(Claims[[#This Row],[Sequence]],5)=0,"Pending","Paid"))</f>
        <v>Paid</v>
      </c>
      <c r="O29" s="2">
        <f>IF(Claims[[#This Row],[Payment Status]]="Paid",Claims[[#This Row],[Claim date]]+2+MOD(Claims[[#This Row],[Sequence]],6),"")</f>
        <v>46163</v>
      </c>
      <c r="P29">
        <f>IF(OR(Claims[[#This Row],[Payment Status]]&lt;&gt;"Paid",Claims[[#This Row],[Payment Date]]="",Claims[[#This Row],[Claim date]]=""),"",Claims[[#This Row],[Payment Date]]-Claims[[#This Row],[Claim date]])</f>
        <v>6</v>
      </c>
    </row>
    <row r="30" spans="1:16" x14ac:dyDescent="0.25">
      <c r="A30" t="str">
        <f>"CLM-"&amp;TEXT(Claims[[#This Row],[Sequence]],"0000")</f>
        <v>CLM-0029</v>
      </c>
      <c r="B30" cm="1">
        <f t="array" ref="B30">ROW()-ROW(Claims[#Headers])</f>
        <v>29</v>
      </c>
      <c r="C30" t="s">
        <v>9</v>
      </c>
      <c r="D30" t="s">
        <v>60</v>
      </c>
      <c r="E30" t="s">
        <v>19</v>
      </c>
      <c r="F30" s="2">
        <f>DATE(2026,5,1)+MOD(Claims[[#This Row],[Sequence]]*7,61)</f>
        <v>46163</v>
      </c>
      <c r="G30" s="2">
        <f>Claims[[#This Row],[Purchase Date]]+1+MOD(Claims[[#This Row],[Sequence]]*3,14)</f>
        <v>46167</v>
      </c>
      <c r="H30" t="s">
        <v>36</v>
      </c>
      <c r="I30" t="s">
        <v>35</v>
      </c>
      <c r="J30" t="s">
        <v>36</v>
      </c>
      <c r="K30" t="str">
        <f>IF(AND(Claims[[#This Row],[Invoice Attached]]="Yes",Claims[[#This Row],[Serial Number Valid]]="Yes",Claims[[#This Row],[Promotion Eligible]]="Yes"),"Approved","Rejected")</f>
        <v>Rejected</v>
      </c>
      <c r="L30">
        <f>IF(Claims[[#This Row],[Validation Status]]="Approved",_xlfn.XLOOKUP(Claims[[#This Row],[Product]],Products[Product],Products[Cashback],0),0)</f>
        <v>0</v>
      </c>
      <c r="M30">
        <v>1000</v>
      </c>
      <c r="N30" t="str">
        <f>IF(Claims[[#This Row],[Validation Status]]="Rejected","Cancelled",IF(MOD(Claims[[#This Row],[Sequence]],5)=0,"Pending","Paid"))</f>
        <v>Cancelled</v>
      </c>
      <c r="O30" s="2" t="str">
        <f>IF(Claims[[#This Row],[Payment Status]]="Paid",Claims[[#This Row],[Claim date]]+2+MOD(Claims[[#This Row],[Sequence]],6),"")</f>
        <v/>
      </c>
      <c r="P30" t="str">
        <f>IF(OR(Claims[[#This Row],[Payment Status]]&lt;&gt;"Paid",Claims[[#This Row],[Payment Date]]="",Claims[[#This Row],[Claim date]]=""),"",Claims[[#This Row],[Payment Date]]-Claims[[#This Row],[Claim date]])</f>
        <v/>
      </c>
    </row>
    <row r="31" spans="1:16" x14ac:dyDescent="0.25">
      <c r="A31" t="str">
        <f>"CLM-"&amp;TEXT(Claims[[#This Row],[Sequence]],"0000")</f>
        <v>CLM-0030</v>
      </c>
      <c r="B31" cm="1">
        <f t="array" ref="B31">ROW()-ROW(Claims[#Headers])</f>
        <v>30</v>
      </c>
      <c r="C31" t="s">
        <v>6</v>
      </c>
      <c r="D31" t="s">
        <v>61</v>
      </c>
      <c r="E31" t="s">
        <v>20</v>
      </c>
      <c r="F31" s="2">
        <f>DATE(2026,5,1)+MOD(Claims[[#This Row],[Sequence]]*7,61)</f>
        <v>46170</v>
      </c>
      <c r="G31" s="2">
        <f>Claims[[#This Row],[Purchase Date]]+1+MOD(Claims[[#This Row],[Sequence]]*3,14)</f>
        <v>46177</v>
      </c>
      <c r="H31" t="s">
        <v>36</v>
      </c>
      <c r="I31" t="s">
        <v>36</v>
      </c>
      <c r="J31" t="s">
        <v>36</v>
      </c>
      <c r="K31" t="str">
        <f>IF(AND(Claims[[#This Row],[Invoice Attached]]="Yes",Claims[[#This Row],[Serial Number Valid]]="Yes",Claims[[#This Row],[Promotion Eligible]]="Yes"),"Approved","Rejected")</f>
        <v>Rejected</v>
      </c>
      <c r="L31">
        <f>IF(Claims[[#This Row],[Validation Status]]="Approved",_xlfn.XLOOKUP(Claims[[#This Row],[Product]],Products[Product],Products[Cashback],0),0)</f>
        <v>0</v>
      </c>
      <c r="M31">
        <v>600</v>
      </c>
      <c r="N31" t="str">
        <f>IF(Claims[[#This Row],[Validation Status]]="Rejected","Cancelled",IF(MOD(Claims[[#This Row],[Sequence]],5)=0,"Pending","Paid"))</f>
        <v>Cancelled</v>
      </c>
      <c r="O31" s="2" t="str">
        <f>IF(Claims[[#This Row],[Payment Status]]="Paid",Claims[[#This Row],[Claim date]]+2+MOD(Claims[[#This Row],[Sequence]],6),"")</f>
        <v/>
      </c>
      <c r="P31" t="str">
        <f>IF(OR(Claims[[#This Row],[Payment Status]]&lt;&gt;"Paid",Claims[[#This Row],[Payment Date]]="",Claims[[#This Row],[Claim date]]=""),"",Claims[[#This Row],[Payment Date]]-Claims[[#This Row],[Claim date]])</f>
        <v/>
      </c>
    </row>
    <row r="32" spans="1:16" x14ac:dyDescent="0.25">
      <c r="A32" t="str">
        <f>"CLM-"&amp;TEXT(Claims[[#This Row],[Sequence]],"0000")</f>
        <v>CLM-0031</v>
      </c>
      <c r="B32" cm="1">
        <f t="array" ref="B32">ROW()-ROW(Claims[#Headers])</f>
        <v>31</v>
      </c>
      <c r="C32" t="s">
        <v>6</v>
      </c>
      <c r="D32" t="s">
        <v>57</v>
      </c>
      <c r="E32" t="s">
        <v>8</v>
      </c>
      <c r="F32" s="2">
        <f>DATE(2026,5,1)+MOD(Claims[[#This Row],[Sequence]]*7,61)</f>
        <v>46177</v>
      </c>
      <c r="G32" s="2">
        <f>Claims[[#This Row],[Purchase Date]]+1+MOD(Claims[[#This Row],[Sequence]]*3,14)</f>
        <v>46187</v>
      </c>
      <c r="H32" t="s">
        <v>35</v>
      </c>
      <c r="I32" t="s">
        <v>35</v>
      </c>
      <c r="J32" t="s">
        <v>35</v>
      </c>
      <c r="K32" t="str">
        <f>IF(AND(Claims[[#This Row],[Invoice Attached]]="Yes",Claims[[#This Row],[Serial Number Valid]]="Yes",Claims[[#This Row],[Promotion Eligible]]="Yes"),"Approved","Rejected")</f>
        <v>Approved</v>
      </c>
      <c r="L32">
        <f>IF(Claims[[#This Row],[Validation Status]]="Approved",_xlfn.XLOOKUP(Claims[[#This Row],[Product]],Products[Product],Products[Cashback],0),0)</f>
        <v>120</v>
      </c>
      <c r="M32">
        <v>1000</v>
      </c>
      <c r="N32" t="str">
        <f>IF(Claims[[#This Row],[Validation Status]]="Rejected","Cancelled",IF(MOD(Claims[[#This Row],[Sequence]],5)=0,"Pending","Paid"))</f>
        <v>Paid</v>
      </c>
      <c r="O32" s="2">
        <f>IF(Claims[[#This Row],[Payment Status]]="Paid",Claims[[#This Row],[Claim date]]+2+MOD(Claims[[#This Row],[Sequence]],6),"")</f>
        <v>46190</v>
      </c>
      <c r="P32">
        <f>IF(OR(Claims[[#This Row],[Payment Status]]&lt;&gt;"Paid",Claims[[#This Row],[Payment Date]]="",Claims[[#This Row],[Claim date]]=""),"",Claims[[#This Row],[Payment Date]]-Claims[[#This Row],[Claim date]])</f>
        <v>3</v>
      </c>
    </row>
    <row r="33" spans="1:16" x14ac:dyDescent="0.25">
      <c r="A33" t="str">
        <f>"CLM-"&amp;TEXT(Claims[[#This Row],[Sequence]],"0000")</f>
        <v>CLM-0032</v>
      </c>
      <c r="B33" cm="1">
        <f t="array" ref="B33">ROW()-ROW(Claims[#Headers])</f>
        <v>32</v>
      </c>
      <c r="C33" t="s">
        <v>7</v>
      </c>
      <c r="D33" t="s">
        <v>58</v>
      </c>
      <c r="E33" t="s">
        <v>21</v>
      </c>
      <c r="F33" s="2">
        <f>DATE(2026,5,1)+MOD(Claims[[#This Row],[Sequence]]*7,61)</f>
        <v>46184</v>
      </c>
      <c r="G33" s="2">
        <f>Claims[[#This Row],[Purchase Date]]+1+MOD(Claims[[#This Row],[Sequence]]*3,14)</f>
        <v>46197</v>
      </c>
      <c r="H33" t="s">
        <v>36</v>
      </c>
      <c r="I33" t="s">
        <v>35</v>
      </c>
      <c r="J33" t="s">
        <v>36</v>
      </c>
      <c r="K33" t="str">
        <f>IF(AND(Claims[[#This Row],[Invoice Attached]]="Yes",Claims[[#This Row],[Serial Number Valid]]="Yes",Claims[[#This Row],[Promotion Eligible]]="Yes"),"Approved","Rejected")</f>
        <v>Rejected</v>
      </c>
      <c r="L33">
        <f>IF(Claims[[#This Row],[Validation Status]]="Approved",_xlfn.XLOOKUP(Claims[[#This Row],[Product]],Products[Product],Products[Cashback],0),0)</f>
        <v>0</v>
      </c>
      <c r="M33">
        <v>600</v>
      </c>
      <c r="N33" t="str">
        <f>IF(Claims[[#This Row],[Validation Status]]="Rejected","Cancelled",IF(MOD(Claims[[#This Row],[Sequence]],5)=0,"Pending","Paid"))</f>
        <v>Cancelled</v>
      </c>
      <c r="O33" s="2" t="str">
        <f>IF(Claims[[#This Row],[Payment Status]]="Paid",Claims[[#This Row],[Claim date]]+2+MOD(Claims[[#This Row],[Sequence]],6),"")</f>
        <v/>
      </c>
      <c r="P33" t="str">
        <f>IF(OR(Claims[[#This Row],[Payment Status]]&lt;&gt;"Paid",Claims[[#This Row],[Payment Date]]="",Claims[[#This Row],[Claim date]]=""),"",Claims[[#This Row],[Payment Date]]-Claims[[#This Row],[Claim date]])</f>
        <v/>
      </c>
    </row>
    <row r="34" spans="1:16" x14ac:dyDescent="0.25">
      <c r="A34" t="str">
        <f>"CLM-"&amp;TEXT(Claims[[#This Row],[Sequence]],"0000")</f>
        <v>CLM-0033</v>
      </c>
      <c r="B34" cm="1">
        <f t="array" ref="B34">ROW()-ROW(Claims[#Headers])</f>
        <v>33</v>
      </c>
      <c r="C34" t="s">
        <v>9</v>
      </c>
      <c r="D34" t="s">
        <v>59</v>
      </c>
      <c r="E34" t="s">
        <v>15</v>
      </c>
      <c r="F34" s="2">
        <f>DATE(2026,5,1)+MOD(Claims[[#This Row],[Sequence]]*7,61)</f>
        <v>46191</v>
      </c>
      <c r="G34" s="2">
        <f>Claims[[#This Row],[Purchase Date]]+1+MOD(Claims[[#This Row],[Sequence]]*3,14)</f>
        <v>46193</v>
      </c>
      <c r="H34" t="s">
        <v>35</v>
      </c>
      <c r="I34" t="s">
        <v>36</v>
      </c>
      <c r="J34" t="s">
        <v>35</v>
      </c>
      <c r="K34" t="str">
        <f>IF(AND(Claims[[#This Row],[Invoice Attached]]="Yes",Claims[[#This Row],[Serial Number Valid]]="Yes",Claims[[#This Row],[Promotion Eligible]]="Yes"),"Approved","Rejected")</f>
        <v>Rejected</v>
      </c>
      <c r="L34">
        <f>IF(Claims[[#This Row],[Validation Status]]="Approved",_xlfn.XLOOKUP(Claims[[#This Row],[Product]],Products[Product],Products[Cashback],0),0)</f>
        <v>0</v>
      </c>
      <c r="M34">
        <v>1100</v>
      </c>
      <c r="N34" t="str">
        <f>IF(Claims[[#This Row],[Validation Status]]="Rejected","Cancelled",IF(MOD(Claims[[#This Row],[Sequence]],5)=0,"Pending","Paid"))</f>
        <v>Cancelled</v>
      </c>
      <c r="O34" s="2" t="str">
        <f>IF(Claims[[#This Row],[Payment Status]]="Paid",Claims[[#This Row],[Claim date]]+2+MOD(Claims[[#This Row],[Sequence]],6),"")</f>
        <v/>
      </c>
      <c r="P34" t="str">
        <f>IF(OR(Claims[[#This Row],[Payment Status]]&lt;&gt;"Paid",Claims[[#This Row],[Payment Date]]="",Claims[[#This Row],[Claim date]]=""),"",Claims[[#This Row],[Payment Date]]-Claims[[#This Row],[Claim date]])</f>
        <v/>
      </c>
    </row>
    <row r="35" spans="1:16" x14ac:dyDescent="0.25">
      <c r="A35" t="str">
        <f>"CLM-"&amp;TEXT(Claims[[#This Row],[Sequence]],"0000")</f>
        <v>CLM-0034</v>
      </c>
      <c r="B35" cm="1">
        <f t="array" ref="B35">ROW()-ROW(Claims[#Headers])</f>
        <v>34</v>
      </c>
      <c r="C35" t="s">
        <v>6</v>
      </c>
      <c r="D35" t="s">
        <v>60</v>
      </c>
      <c r="E35" t="s">
        <v>16</v>
      </c>
      <c r="F35" s="2">
        <f>DATE(2026,5,1)+MOD(Claims[[#This Row],[Sequence]]*7,61)</f>
        <v>46198</v>
      </c>
      <c r="G35" s="2">
        <f>Claims[[#This Row],[Purchase Date]]+1+MOD(Claims[[#This Row],[Sequence]]*3,14)</f>
        <v>46203</v>
      </c>
      <c r="H35" t="s">
        <v>35</v>
      </c>
      <c r="I35" t="s">
        <v>35</v>
      </c>
      <c r="J35" t="s">
        <v>35</v>
      </c>
      <c r="K35" t="str">
        <f>IF(AND(Claims[[#This Row],[Invoice Attached]]="Yes",Claims[[#This Row],[Serial Number Valid]]="Yes",Claims[[#This Row],[Promotion Eligible]]="Yes"),"Approved","Rejected")</f>
        <v>Approved</v>
      </c>
      <c r="L35">
        <f>IF(Claims[[#This Row],[Validation Status]]="Approved",_xlfn.XLOOKUP(Claims[[#This Row],[Product]],Products[Product],Products[Cashback],0),0)</f>
        <v>200</v>
      </c>
      <c r="M35">
        <v>1000</v>
      </c>
      <c r="N35" t="str">
        <f>IF(Claims[[#This Row],[Validation Status]]="Rejected","Cancelled",IF(MOD(Claims[[#This Row],[Sequence]],5)=0,"Pending","Paid"))</f>
        <v>Paid</v>
      </c>
      <c r="O35" s="2">
        <f>IF(Claims[[#This Row],[Payment Status]]="Paid",Claims[[#This Row],[Claim date]]+2+MOD(Claims[[#This Row],[Sequence]],6),"")</f>
        <v>46209</v>
      </c>
      <c r="P35">
        <f>IF(OR(Claims[[#This Row],[Payment Status]]&lt;&gt;"Paid",Claims[[#This Row],[Payment Date]]="",Claims[[#This Row],[Claim date]]=""),"",Claims[[#This Row],[Payment Date]]-Claims[[#This Row],[Claim date]])</f>
        <v>6</v>
      </c>
    </row>
    <row r="36" spans="1:16" x14ac:dyDescent="0.25">
      <c r="A36" t="str">
        <f>"CLM-"&amp;TEXT(Claims[[#This Row],[Sequence]],"0000")</f>
        <v>CLM-0035</v>
      </c>
      <c r="B36" cm="1">
        <f t="array" ref="B36">ROW()-ROW(Claims[#Headers])</f>
        <v>35</v>
      </c>
      <c r="C36" t="s">
        <v>7</v>
      </c>
      <c r="D36" t="s">
        <v>61</v>
      </c>
      <c r="E36" t="s">
        <v>17</v>
      </c>
      <c r="F36" s="2">
        <f>DATE(2026,5,1)+MOD(Claims[[#This Row],[Sequence]]*7,61)</f>
        <v>46144</v>
      </c>
      <c r="G36" s="2">
        <f>Claims[[#This Row],[Purchase Date]]+1+MOD(Claims[[#This Row],[Sequence]]*3,14)</f>
        <v>46152</v>
      </c>
      <c r="H36" t="s">
        <v>36</v>
      </c>
      <c r="I36" t="s">
        <v>35</v>
      </c>
      <c r="J36" t="s">
        <v>35</v>
      </c>
      <c r="K36" t="str">
        <f>IF(AND(Claims[[#This Row],[Invoice Attached]]="Yes",Claims[[#This Row],[Serial Number Valid]]="Yes",Claims[[#This Row],[Promotion Eligible]]="Yes"),"Approved","Rejected")</f>
        <v>Rejected</v>
      </c>
      <c r="L36">
        <f>IF(Claims[[#This Row],[Validation Status]]="Approved",_xlfn.XLOOKUP(Claims[[#This Row],[Product]],Products[Product],Products[Cashback],0),0)</f>
        <v>0</v>
      </c>
      <c r="M36">
        <v>200</v>
      </c>
      <c r="N36" t="str">
        <f>IF(Claims[[#This Row],[Validation Status]]="Rejected","Cancelled",IF(MOD(Claims[[#This Row],[Sequence]],5)=0,"Pending","Paid"))</f>
        <v>Cancelled</v>
      </c>
      <c r="O36" s="2" t="str">
        <f>IF(Claims[[#This Row],[Payment Status]]="Paid",Claims[[#This Row],[Claim date]]+2+MOD(Claims[[#This Row],[Sequence]],6),"")</f>
        <v/>
      </c>
      <c r="P36" t="str">
        <f>IF(OR(Claims[[#This Row],[Payment Status]]&lt;&gt;"Paid",Claims[[#This Row],[Payment Date]]="",Claims[[#This Row],[Claim date]]=""),"",Claims[[#This Row],[Payment Date]]-Claims[[#This Row],[Claim date]])</f>
        <v/>
      </c>
    </row>
    <row r="37" spans="1:16" x14ac:dyDescent="0.25">
      <c r="A37" t="str">
        <f>"CLM-"&amp;TEXT(Claims[[#This Row],[Sequence]],"0000")</f>
        <v>CLM-0036</v>
      </c>
      <c r="B37" cm="1">
        <f t="array" ref="B37">ROW()-ROW(Claims[#Headers])</f>
        <v>36</v>
      </c>
      <c r="C37" t="s">
        <v>9</v>
      </c>
      <c r="D37" t="s">
        <v>57</v>
      </c>
      <c r="E37" t="s">
        <v>18</v>
      </c>
      <c r="F37" s="2">
        <f>DATE(2026,5,1)+MOD(Claims[[#This Row],[Sequence]]*7,61)</f>
        <v>46151</v>
      </c>
      <c r="G37" s="2">
        <f>Claims[[#This Row],[Purchase Date]]+1+MOD(Claims[[#This Row],[Sequence]]*3,14)</f>
        <v>46162</v>
      </c>
      <c r="H37" t="s">
        <v>35</v>
      </c>
      <c r="I37" t="s">
        <v>36</v>
      </c>
      <c r="J37" t="s">
        <v>36</v>
      </c>
      <c r="K37" t="str">
        <f>IF(AND(Claims[[#This Row],[Invoice Attached]]="Yes",Claims[[#This Row],[Serial Number Valid]]="Yes",Claims[[#This Row],[Promotion Eligible]]="Yes"),"Approved","Rejected")</f>
        <v>Rejected</v>
      </c>
      <c r="L37">
        <f>IF(Claims[[#This Row],[Validation Status]]="Approved",_xlfn.XLOOKUP(Claims[[#This Row],[Product]],Products[Product],Products[Cashback],0),0)</f>
        <v>0</v>
      </c>
      <c r="M37">
        <v>650</v>
      </c>
      <c r="N37" t="str">
        <f>IF(Claims[[#This Row],[Validation Status]]="Rejected","Cancelled",IF(MOD(Claims[[#This Row],[Sequence]],5)=0,"Pending","Paid"))</f>
        <v>Cancelled</v>
      </c>
      <c r="O37" s="2" t="str">
        <f>IF(Claims[[#This Row],[Payment Status]]="Paid",Claims[[#This Row],[Claim date]]+2+MOD(Claims[[#This Row],[Sequence]],6),"")</f>
        <v/>
      </c>
      <c r="P37" t="str">
        <f>IF(OR(Claims[[#This Row],[Payment Status]]&lt;&gt;"Paid",Claims[[#This Row],[Payment Date]]="",Claims[[#This Row],[Claim date]]=""),"",Claims[[#This Row],[Payment Date]]-Claims[[#This Row],[Claim date]])</f>
        <v/>
      </c>
    </row>
    <row r="38" spans="1:16" x14ac:dyDescent="0.25">
      <c r="A38" t="str">
        <f>"CLM-"&amp;TEXT(Claims[[#This Row],[Sequence]],"0000")</f>
        <v>CLM-0037</v>
      </c>
      <c r="B38" cm="1">
        <f t="array" ref="B38">ROW()-ROW(Claims[#Headers])</f>
        <v>37</v>
      </c>
      <c r="C38" t="s">
        <v>6</v>
      </c>
      <c r="D38" t="s">
        <v>58</v>
      </c>
      <c r="E38" t="s">
        <v>19</v>
      </c>
      <c r="F38" s="2">
        <f>DATE(2026,5,1)+MOD(Claims[[#This Row],[Sequence]]*7,61)</f>
        <v>46158</v>
      </c>
      <c r="G38" s="2">
        <f>Claims[[#This Row],[Purchase Date]]+1+MOD(Claims[[#This Row],[Sequence]]*3,14)</f>
        <v>46172</v>
      </c>
      <c r="H38" t="s">
        <v>35</v>
      </c>
      <c r="I38" t="s">
        <v>35</v>
      </c>
      <c r="J38" t="s">
        <v>35</v>
      </c>
      <c r="K38" t="str">
        <f>IF(AND(Claims[[#This Row],[Invoice Attached]]="Yes",Claims[[#This Row],[Serial Number Valid]]="Yes",Claims[[#This Row],[Promotion Eligible]]="Yes"),"Approved","Rejected")</f>
        <v>Approved</v>
      </c>
      <c r="L38">
        <f>IF(Claims[[#This Row],[Validation Status]]="Approved",_xlfn.XLOOKUP(Claims[[#This Row],[Product]],Products[Product],Products[Cashback],0),0)</f>
        <v>50</v>
      </c>
      <c r="M38">
        <v>1050</v>
      </c>
      <c r="N38" t="str">
        <f>IF(Claims[[#This Row],[Validation Status]]="Rejected","Cancelled",IF(MOD(Claims[[#This Row],[Sequence]],5)=0,"Pending","Paid"))</f>
        <v>Paid</v>
      </c>
      <c r="O38" s="2">
        <f>IF(Claims[[#This Row],[Payment Status]]="Paid",Claims[[#This Row],[Claim date]]+2+MOD(Claims[[#This Row],[Sequence]],6),"")</f>
        <v>46175</v>
      </c>
      <c r="P38">
        <f>IF(OR(Claims[[#This Row],[Payment Status]]&lt;&gt;"Paid",Claims[[#This Row],[Payment Date]]="",Claims[[#This Row],[Claim date]]=""),"",Claims[[#This Row],[Payment Date]]-Claims[[#This Row],[Claim date]])</f>
        <v>3</v>
      </c>
    </row>
    <row r="39" spans="1:16" x14ac:dyDescent="0.25">
      <c r="A39" t="str">
        <f>"CLM-"&amp;TEXT(Claims[[#This Row],[Sequence]],"0000")</f>
        <v>CLM-0038</v>
      </c>
      <c r="B39" cm="1">
        <f t="array" ref="B39">ROW()-ROW(Claims[#Headers])</f>
        <v>38</v>
      </c>
      <c r="C39" t="s">
        <v>7</v>
      </c>
      <c r="D39" t="s">
        <v>59</v>
      </c>
      <c r="E39" t="s">
        <v>20</v>
      </c>
      <c r="F39" s="2">
        <f>DATE(2026,5,1)+MOD(Claims[[#This Row],[Sequence]]*7,61)</f>
        <v>46165</v>
      </c>
      <c r="G39" s="2">
        <f>Claims[[#This Row],[Purchase Date]]+1+MOD(Claims[[#This Row],[Sequence]]*3,14)</f>
        <v>46168</v>
      </c>
      <c r="H39" t="s">
        <v>35</v>
      </c>
      <c r="I39" t="s">
        <v>35</v>
      </c>
      <c r="J39" t="s">
        <v>35</v>
      </c>
      <c r="K39" t="str">
        <f>IF(AND(Claims[[#This Row],[Invoice Attached]]="Yes",Claims[[#This Row],[Serial Number Valid]]="Yes",Claims[[#This Row],[Promotion Eligible]]="Yes"),"Approved","Rejected")</f>
        <v>Approved</v>
      </c>
      <c r="L39">
        <f>IF(Claims[[#This Row],[Validation Status]]="Approved",_xlfn.XLOOKUP(Claims[[#This Row],[Product]],Products[Product],Products[Cashback],0),0)</f>
        <v>70</v>
      </c>
      <c r="M39">
        <v>220</v>
      </c>
      <c r="N39" t="str">
        <f>IF(Claims[[#This Row],[Validation Status]]="Rejected","Cancelled",IF(MOD(Claims[[#This Row],[Sequence]],5)=0,"Pending","Paid"))</f>
        <v>Paid</v>
      </c>
      <c r="O39" s="2">
        <f>IF(Claims[[#This Row],[Payment Status]]="Paid",Claims[[#This Row],[Claim date]]+2+MOD(Claims[[#This Row],[Sequence]],6),"")</f>
        <v>46172</v>
      </c>
      <c r="P39">
        <f>IF(OR(Claims[[#This Row],[Payment Status]]&lt;&gt;"Paid",Claims[[#This Row],[Payment Date]]="",Claims[[#This Row],[Claim date]]=""),"",Claims[[#This Row],[Payment Date]]-Claims[[#This Row],[Claim date]])</f>
        <v>4</v>
      </c>
    </row>
    <row r="40" spans="1:16" x14ac:dyDescent="0.25">
      <c r="A40" t="str">
        <f>"CLM-"&amp;TEXT(Claims[[#This Row],[Sequence]],"0000")</f>
        <v>CLM-0039</v>
      </c>
      <c r="B40" cm="1">
        <f t="array" ref="B40">ROW()-ROW(Claims[#Headers])</f>
        <v>39</v>
      </c>
      <c r="C40" t="s">
        <v>9</v>
      </c>
      <c r="D40" t="s">
        <v>60</v>
      </c>
      <c r="E40" t="s">
        <v>8</v>
      </c>
      <c r="F40" s="2">
        <f>DATE(2026,5,1)+MOD(Claims[[#This Row],[Sequence]]*7,61)</f>
        <v>46172</v>
      </c>
      <c r="G40" s="2">
        <f>Claims[[#This Row],[Purchase Date]]+1+MOD(Claims[[#This Row],[Sequence]]*3,14)</f>
        <v>46178</v>
      </c>
      <c r="H40" t="s">
        <v>36</v>
      </c>
      <c r="I40" t="s">
        <v>35</v>
      </c>
      <c r="J40" t="s">
        <v>36</v>
      </c>
      <c r="K40" t="str">
        <f>IF(AND(Claims[[#This Row],[Invoice Attached]]="Yes",Claims[[#This Row],[Serial Number Valid]]="Yes",Claims[[#This Row],[Promotion Eligible]]="Yes"),"Approved","Rejected")</f>
        <v>Rejected</v>
      </c>
      <c r="L40">
        <f>IF(Claims[[#This Row],[Validation Status]]="Approved",_xlfn.XLOOKUP(Claims[[#This Row],[Product]],Products[Product],Products[Cashback],0),0)</f>
        <v>0</v>
      </c>
      <c r="M40">
        <v>1000</v>
      </c>
      <c r="N40" t="str">
        <f>IF(Claims[[#This Row],[Validation Status]]="Rejected","Cancelled",IF(MOD(Claims[[#This Row],[Sequence]],5)=0,"Pending","Paid"))</f>
        <v>Cancelled</v>
      </c>
      <c r="O40" s="2" t="str">
        <f>IF(Claims[[#This Row],[Payment Status]]="Paid",Claims[[#This Row],[Claim date]]+2+MOD(Claims[[#This Row],[Sequence]],6),"")</f>
        <v/>
      </c>
      <c r="P40" t="str">
        <f>IF(OR(Claims[[#This Row],[Payment Status]]&lt;&gt;"Paid",Claims[[#This Row],[Payment Date]]="",Claims[[#This Row],[Claim date]]=""),"",Claims[[#This Row],[Payment Date]]-Claims[[#This Row],[Claim date]])</f>
        <v/>
      </c>
    </row>
    <row r="41" spans="1:16" x14ac:dyDescent="0.25">
      <c r="A41" t="str">
        <f>"CLM-"&amp;TEXT(Claims[[#This Row],[Sequence]],"0000")</f>
        <v>CLM-0040</v>
      </c>
      <c r="B41" cm="1">
        <f t="array" ref="B41">ROW()-ROW(Claims[#Headers])</f>
        <v>40</v>
      </c>
      <c r="C41" t="s">
        <v>6</v>
      </c>
      <c r="D41" t="s">
        <v>61</v>
      </c>
      <c r="E41" t="s">
        <v>21</v>
      </c>
      <c r="F41" s="2">
        <f>DATE(2026,5,1)+MOD(Claims[[#This Row],[Sequence]]*7,61)</f>
        <v>46179</v>
      </c>
      <c r="G41" s="2">
        <f>Claims[[#This Row],[Purchase Date]]+1+MOD(Claims[[#This Row],[Sequence]]*3,14)</f>
        <v>46188</v>
      </c>
      <c r="H41" t="s">
        <v>36</v>
      </c>
      <c r="I41" t="s">
        <v>36</v>
      </c>
      <c r="J41" t="s">
        <v>36</v>
      </c>
      <c r="K41" t="str">
        <f>IF(AND(Claims[[#This Row],[Invoice Attached]]="Yes",Claims[[#This Row],[Serial Number Valid]]="Yes",Claims[[#This Row],[Promotion Eligible]]="Yes"),"Approved","Rejected")</f>
        <v>Rejected</v>
      </c>
      <c r="L41">
        <f>IF(Claims[[#This Row],[Validation Status]]="Approved",_xlfn.XLOOKUP(Claims[[#This Row],[Product]],Products[Product],Products[Cashback],0),0)</f>
        <v>0</v>
      </c>
      <c r="M41">
        <v>600</v>
      </c>
      <c r="N41" t="str">
        <f>IF(Claims[[#This Row],[Validation Status]]="Rejected","Cancelled",IF(MOD(Claims[[#This Row],[Sequence]],5)=0,"Pending","Paid"))</f>
        <v>Cancelled</v>
      </c>
      <c r="O41" s="2" t="str">
        <f>IF(Claims[[#This Row],[Payment Status]]="Paid",Claims[[#This Row],[Claim date]]+2+MOD(Claims[[#This Row],[Sequence]],6),"")</f>
        <v/>
      </c>
      <c r="P41" t="str">
        <f>IF(OR(Claims[[#This Row],[Payment Status]]&lt;&gt;"Paid",Claims[[#This Row],[Payment Date]]="",Claims[[#This Row],[Claim date]]=""),"",Claims[[#This Row],[Payment Date]]-Claims[[#This Row],[Claim date]])</f>
        <v/>
      </c>
    </row>
    <row r="42" spans="1:16" x14ac:dyDescent="0.25">
      <c r="A42" t="str">
        <f>"CLM-"&amp;TEXT(Claims[[#This Row],[Sequence]],"0000")</f>
        <v>CLM-0041</v>
      </c>
      <c r="B42" cm="1">
        <f t="array" ref="B42">ROW()-ROW(Claims[#Headers])</f>
        <v>41</v>
      </c>
      <c r="C42" t="s">
        <v>6</v>
      </c>
      <c r="D42" t="s">
        <v>57</v>
      </c>
      <c r="E42" t="s">
        <v>15</v>
      </c>
      <c r="F42" s="2">
        <f>DATE(2026,5,1)+MOD(Claims[[#This Row],[Sequence]]*7,61)</f>
        <v>46186</v>
      </c>
      <c r="G42" s="2">
        <f>Claims[[#This Row],[Purchase Date]]+1+MOD(Claims[[#This Row],[Sequence]]*3,14)</f>
        <v>46198</v>
      </c>
      <c r="H42" t="s">
        <v>35</v>
      </c>
      <c r="I42" t="s">
        <v>35</v>
      </c>
      <c r="J42" t="s">
        <v>35</v>
      </c>
      <c r="K42" t="str">
        <f>IF(AND(Claims[[#This Row],[Invoice Attached]]="Yes",Claims[[#This Row],[Serial Number Valid]]="Yes",Claims[[#This Row],[Promotion Eligible]]="Yes"),"Approved","Rejected")</f>
        <v>Approved</v>
      </c>
      <c r="L42">
        <f>IF(Claims[[#This Row],[Validation Status]]="Approved",_xlfn.XLOOKUP(Claims[[#This Row],[Product]],Products[Product],Products[Cashback],0),0)</f>
        <v>150</v>
      </c>
      <c r="M42">
        <v>1000</v>
      </c>
      <c r="N42" t="str">
        <f>IF(Claims[[#This Row],[Validation Status]]="Rejected","Cancelled",IF(MOD(Claims[[#This Row],[Sequence]],5)=0,"Pending","Paid"))</f>
        <v>Paid</v>
      </c>
      <c r="O42" s="2">
        <f>IF(Claims[[#This Row],[Payment Status]]="Paid",Claims[[#This Row],[Claim date]]+2+MOD(Claims[[#This Row],[Sequence]],6),"")</f>
        <v>46205</v>
      </c>
      <c r="P42">
        <f>IF(OR(Claims[[#This Row],[Payment Status]]&lt;&gt;"Paid",Claims[[#This Row],[Payment Date]]="",Claims[[#This Row],[Claim date]]=""),"",Claims[[#This Row],[Payment Date]]-Claims[[#This Row],[Claim date]])</f>
        <v>7</v>
      </c>
    </row>
    <row r="43" spans="1:16" x14ac:dyDescent="0.25">
      <c r="A43" t="str">
        <f>"CLM-"&amp;TEXT(Claims[[#This Row],[Sequence]],"0000")</f>
        <v>CLM-0042</v>
      </c>
      <c r="B43" cm="1">
        <f t="array" ref="B43">ROW()-ROW(Claims[#Headers])</f>
        <v>42</v>
      </c>
      <c r="C43" t="s">
        <v>7</v>
      </c>
      <c r="D43" t="s">
        <v>58</v>
      </c>
      <c r="E43" t="s">
        <v>16</v>
      </c>
      <c r="F43" s="2">
        <f>DATE(2026,5,1)+MOD(Claims[[#This Row],[Sequence]]*7,61)</f>
        <v>46193</v>
      </c>
      <c r="G43" s="2">
        <f>Claims[[#This Row],[Purchase Date]]+1+MOD(Claims[[#This Row],[Sequence]]*3,14)</f>
        <v>46194</v>
      </c>
      <c r="H43" t="s">
        <v>36</v>
      </c>
      <c r="I43" t="s">
        <v>35</v>
      </c>
      <c r="J43" t="s">
        <v>36</v>
      </c>
      <c r="K43" t="str">
        <f>IF(AND(Claims[[#This Row],[Invoice Attached]]="Yes",Claims[[#This Row],[Serial Number Valid]]="Yes",Claims[[#This Row],[Promotion Eligible]]="Yes"),"Approved","Rejected")</f>
        <v>Rejected</v>
      </c>
      <c r="L43">
        <f>IF(Claims[[#This Row],[Validation Status]]="Approved",_xlfn.XLOOKUP(Claims[[#This Row],[Product]],Products[Product],Products[Cashback],0),0)</f>
        <v>0</v>
      </c>
      <c r="M43">
        <v>600</v>
      </c>
      <c r="N43" t="str">
        <f>IF(Claims[[#This Row],[Validation Status]]="Rejected","Cancelled",IF(MOD(Claims[[#This Row],[Sequence]],5)=0,"Pending","Paid"))</f>
        <v>Cancelled</v>
      </c>
      <c r="O43" s="2" t="str">
        <f>IF(Claims[[#This Row],[Payment Status]]="Paid",Claims[[#This Row],[Claim date]]+2+MOD(Claims[[#This Row],[Sequence]],6),"")</f>
        <v/>
      </c>
      <c r="P43" t="str">
        <f>IF(OR(Claims[[#This Row],[Payment Status]]&lt;&gt;"Paid",Claims[[#This Row],[Payment Date]]="",Claims[[#This Row],[Claim date]]=""),"",Claims[[#This Row],[Payment Date]]-Claims[[#This Row],[Claim date]])</f>
        <v/>
      </c>
    </row>
    <row r="44" spans="1:16" x14ac:dyDescent="0.25">
      <c r="A44" t="str">
        <f>"CLM-"&amp;TEXT(Claims[[#This Row],[Sequence]],"0000")</f>
        <v>CLM-0043</v>
      </c>
      <c r="B44" cm="1">
        <f t="array" ref="B44">ROW()-ROW(Claims[#Headers])</f>
        <v>43</v>
      </c>
      <c r="C44" t="s">
        <v>9</v>
      </c>
      <c r="D44" t="s">
        <v>59</v>
      </c>
      <c r="E44" t="s">
        <v>17</v>
      </c>
      <c r="F44" s="2">
        <f>DATE(2026,5,1)+MOD(Claims[[#This Row],[Sequence]]*7,61)</f>
        <v>46200</v>
      </c>
      <c r="G44" s="2">
        <f>Claims[[#This Row],[Purchase Date]]+1+MOD(Claims[[#This Row],[Sequence]]*3,14)</f>
        <v>46204</v>
      </c>
      <c r="H44" t="s">
        <v>35</v>
      </c>
      <c r="I44" t="s">
        <v>36</v>
      </c>
      <c r="J44" t="s">
        <v>35</v>
      </c>
      <c r="K44" t="str">
        <f>IF(AND(Claims[[#This Row],[Invoice Attached]]="Yes",Claims[[#This Row],[Serial Number Valid]]="Yes",Claims[[#This Row],[Promotion Eligible]]="Yes"),"Approved","Rejected")</f>
        <v>Rejected</v>
      </c>
      <c r="L44">
        <f>IF(Claims[[#This Row],[Validation Status]]="Approved",_xlfn.XLOOKUP(Claims[[#This Row],[Product]],Products[Product],Products[Cashback],0),0)</f>
        <v>0</v>
      </c>
      <c r="M44">
        <v>1100</v>
      </c>
      <c r="N44" t="str">
        <f>IF(Claims[[#This Row],[Validation Status]]="Rejected","Cancelled",IF(MOD(Claims[[#This Row],[Sequence]],5)=0,"Pending","Paid"))</f>
        <v>Cancelled</v>
      </c>
      <c r="O44" s="2" t="str">
        <f>IF(Claims[[#This Row],[Payment Status]]="Paid",Claims[[#This Row],[Claim date]]+2+MOD(Claims[[#This Row],[Sequence]],6),"")</f>
        <v/>
      </c>
      <c r="P44" t="str">
        <f>IF(OR(Claims[[#This Row],[Payment Status]]&lt;&gt;"Paid",Claims[[#This Row],[Payment Date]]="",Claims[[#This Row],[Claim date]]=""),"",Claims[[#This Row],[Payment Date]]-Claims[[#This Row],[Claim date]])</f>
        <v/>
      </c>
    </row>
    <row r="45" spans="1:16" x14ac:dyDescent="0.25">
      <c r="A45" t="str">
        <f>"CLM-"&amp;TEXT(Claims[[#This Row],[Sequence]],"0000")</f>
        <v>CLM-0044</v>
      </c>
      <c r="B45" cm="1">
        <f t="array" ref="B45">ROW()-ROW(Claims[#Headers])</f>
        <v>44</v>
      </c>
      <c r="C45" t="s">
        <v>6</v>
      </c>
      <c r="D45" t="s">
        <v>60</v>
      </c>
      <c r="E45" t="s">
        <v>18</v>
      </c>
      <c r="F45" s="2">
        <f>DATE(2026,5,1)+MOD(Claims[[#This Row],[Sequence]]*7,61)</f>
        <v>46146</v>
      </c>
      <c r="G45" s="2">
        <f>Claims[[#This Row],[Purchase Date]]+1+MOD(Claims[[#This Row],[Sequence]]*3,14)</f>
        <v>46153</v>
      </c>
      <c r="H45" t="s">
        <v>35</v>
      </c>
      <c r="I45" t="s">
        <v>35</v>
      </c>
      <c r="J45" t="s">
        <v>35</v>
      </c>
      <c r="K45" t="str">
        <f>IF(AND(Claims[[#This Row],[Invoice Attached]]="Yes",Claims[[#This Row],[Serial Number Valid]]="Yes",Claims[[#This Row],[Promotion Eligible]]="Yes"),"Approved","Rejected")</f>
        <v>Approved</v>
      </c>
      <c r="L45">
        <f>IF(Claims[[#This Row],[Validation Status]]="Approved",_xlfn.XLOOKUP(Claims[[#This Row],[Product]],Products[Product],Products[Cashback],0),0)</f>
        <v>60</v>
      </c>
      <c r="M45">
        <v>1000</v>
      </c>
      <c r="N45" t="str">
        <f>IF(Claims[[#This Row],[Validation Status]]="Rejected","Cancelled",IF(MOD(Claims[[#This Row],[Sequence]],5)=0,"Pending","Paid"))</f>
        <v>Paid</v>
      </c>
      <c r="O45" s="2">
        <f>IF(Claims[[#This Row],[Payment Status]]="Paid",Claims[[#This Row],[Claim date]]+2+MOD(Claims[[#This Row],[Sequence]],6),"")</f>
        <v>46157</v>
      </c>
      <c r="P45">
        <f>IF(OR(Claims[[#This Row],[Payment Status]]&lt;&gt;"Paid",Claims[[#This Row],[Payment Date]]="",Claims[[#This Row],[Claim date]]=""),"",Claims[[#This Row],[Payment Date]]-Claims[[#This Row],[Claim date]])</f>
        <v>4</v>
      </c>
    </row>
    <row r="46" spans="1:16" x14ac:dyDescent="0.25">
      <c r="A46" t="str">
        <f>"CLM-"&amp;TEXT(Claims[[#This Row],[Sequence]],"0000")</f>
        <v>CLM-0045</v>
      </c>
      <c r="B46" cm="1">
        <f t="array" ref="B46">ROW()-ROW(Claims[#Headers])</f>
        <v>45</v>
      </c>
      <c r="C46" t="s">
        <v>7</v>
      </c>
      <c r="D46" t="s">
        <v>61</v>
      </c>
      <c r="E46" t="s">
        <v>19</v>
      </c>
      <c r="F46" s="2">
        <f>DATE(2026,5,1)+MOD(Claims[[#This Row],[Sequence]]*7,61)</f>
        <v>46153</v>
      </c>
      <c r="G46" s="2">
        <f>Claims[[#This Row],[Purchase Date]]+1+MOD(Claims[[#This Row],[Sequence]]*3,14)</f>
        <v>46163</v>
      </c>
      <c r="H46" t="s">
        <v>36</v>
      </c>
      <c r="I46" t="s">
        <v>35</v>
      </c>
      <c r="J46" t="s">
        <v>35</v>
      </c>
      <c r="K46" t="str">
        <f>IF(AND(Claims[[#This Row],[Invoice Attached]]="Yes",Claims[[#This Row],[Serial Number Valid]]="Yes",Claims[[#This Row],[Promotion Eligible]]="Yes"),"Approved","Rejected")</f>
        <v>Rejected</v>
      </c>
      <c r="L46">
        <f>IF(Claims[[#This Row],[Validation Status]]="Approved",_xlfn.XLOOKUP(Claims[[#This Row],[Product]],Products[Product],Products[Cashback],0),0)</f>
        <v>0</v>
      </c>
      <c r="M46">
        <v>200</v>
      </c>
      <c r="N46" t="str">
        <f>IF(Claims[[#This Row],[Validation Status]]="Rejected","Cancelled",IF(MOD(Claims[[#This Row],[Sequence]],5)=0,"Pending","Paid"))</f>
        <v>Cancelled</v>
      </c>
      <c r="O46" s="2" t="str">
        <f>IF(Claims[[#This Row],[Payment Status]]="Paid",Claims[[#This Row],[Claim date]]+2+MOD(Claims[[#This Row],[Sequence]],6),"")</f>
        <v/>
      </c>
      <c r="P46" t="str">
        <f>IF(OR(Claims[[#This Row],[Payment Status]]&lt;&gt;"Paid",Claims[[#This Row],[Payment Date]]="",Claims[[#This Row],[Claim date]]=""),"",Claims[[#This Row],[Payment Date]]-Claims[[#This Row],[Claim date]])</f>
        <v/>
      </c>
    </row>
    <row r="47" spans="1:16" x14ac:dyDescent="0.25">
      <c r="A47" t="str">
        <f>"CLM-"&amp;TEXT(Claims[[#This Row],[Sequence]],"0000")</f>
        <v>CLM-0046</v>
      </c>
      <c r="B47" cm="1">
        <f t="array" ref="B47">ROW()-ROW(Claims[#Headers])</f>
        <v>46</v>
      </c>
      <c r="C47" t="s">
        <v>9</v>
      </c>
      <c r="D47" t="s">
        <v>57</v>
      </c>
      <c r="E47" t="s">
        <v>20</v>
      </c>
      <c r="F47" s="2">
        <f>DATE(2026,5,1)+MOD(Claims[[#This Row],[Sequence]]*7,61)</f>
        <v>46160</v>
      </c>
      <c r="G47" s="2">
        <f>Claims[[#This Row],[Purchase Date]]+1+MOD(Claims[[#This Row],[Sequence]]*3,14)</f>
        <v>46173</v>
      </c>
      <c r="H47" t="s">
        <v>35</v>
      </c>
      <c r="I47" t="s">
        <v>36</v>
      </c>
      <c r="J47" t="s">
        <v>36</v>
      </c>
      <c r="K47" t="str">
        <f>IF(AND(Claims[[#This Row],[Invoice Attached]]="Yes",Claims[[#This Row],[Serial Number Valid]]="Yes",Claims[[#This Row],[Promotion Eligible]]="Yes"),"Approved","Rejected")</f>
        <v>Rejected</v>
      </c>
      <c r="L47">
        <f>IF(Claims[[#This Row],[Validation Status]]="Approved",_xlfn.XLOOKUP(Claims[[#This Row],[Product]],Products[Product],Products[Cashback],0),0)</f>
        <v>0</v>
      </c>
      <c r="M47">
        <v>650</v>
      </c>
      <c r="N47" t="str">
        <f>IF(Claims[[#This Row],[Validation Status]]="Rejected","Cancelled",IF(MOD(Claims[[#This Row],[Sequence]],5)=0,"Pending","Paid"))</f>
        <v>Cancelled</v>
      </c>
      <c r="O47" s="2" t="str">
        <f>IF(Claims[[#This Row],[Payment Status]]="Paid",Claims[[#This Row],[Claim date]]+2+MOD(Claims[[#This Row],[Sequence]],6),"")</f>
        <v/>
      </c>
      <c r="P47" t="str">
        <f>IF(OR(Claims[[#This Row],[Payment Status]]&lt;&gt;"Paid",Claims[[#This Row],[Payment Date]]="",Claims[[#This Row],[Claim date]]=""),"",Claims[[#This Row],[Payment Date]]-Claims[[#This Row],[Claim date]])</f>
        <v/>
      </c>
    </row>
    <row r="48" spans="1:16" x14ac:dyDescent="0.25">
      <c r="A48" t="str">
        <f>"CLM-"&amp;TEXT(Claims[[#This Row],[Sequence]],"0000")</f>
        <v>CLM-0047</v>
      </c>
      <c r="B48" cm="1">
        <f t="array" ref="B48">ROW()-ROW(Claims[#Headers])</f>
        <v>47</v>
      </c>
      <c r="C48" t="s">
        <v>6</v>
      </c>
      <c r="D48" t="s">
        <v>58</v>
      </c>
      <c r="E48" t="s">
        <v>8</v>
      </c>
      <c r="F48" s="2">
        <f>DATE(2026,5,1)+MOD(Claims[[#This Row],[Sequence]]*7,61)</f>
        <v>46167</v>
      </c>
      <c r="G48" s="2">
        <f>Claims[[#This Row],[Purchase Date]]+1+MOD(Claims[[#This Row],[Sequence]]*3,14)</f>
        <v>46169</v>
      </c>
      <c r="H48" t="s">
        <v>35</v>
      </c>
      <c r="I48" t="s">
        <v>35</v>
      </c>
      <c r="J48" t="s">
        <v>35</v>
      </c>
      <c r="K48" t="str">
        <f>IF(AND(Claims[[#This Row],[Invoice Attached]]="Yes",Claims[[#This Row],[Serial Number Valid]]="Yes",Claims[[#This Row],[Promotion Eligible]]="Yes"),"Approved","Rejected")</f>
        <v>Approved</v>
      </c>
      <c r="L48">
        <f>IF(Claims[[#This Row],[Validation Status]]="Approved",_xlfn.XLOOKUP(Claims[[#This Row],[Product]],Products[Product],Products[Cashback],0),0)</f>
        <v>120</v>
      </c>
      <c r="M48">
        <v>1050</v>
      </c>
      <c r="N48" t="str">
        <f>IF(Claims[[#This Row],[Validation Status]]="Rejected","Cancelled",IF(MOD(Claims[[#This Row],[Sequence]],5)=0,"Pending","Paid"))</f>
        <v>Paid</v>
      </c>
      <c r="O48" s="2">
        <f>IF(Claims[[#This Row],[Payment Status]]="Paid",Claims[[#This Row],[Claim date]]+2+MOD(Claims[[#This Row],[Sequence]],6),"")</f>
        <v>46176</v>
      </c>
      <c r="P48">
        <f>IF(OR(Claims[[#This Row],[Payment Status]]&lt;&gt;"Paid",Claims[[#This Row],[Payment Date]]="",Claims[[#This Row],[Claim date]]=""),"",Claims[[#This Row],[Payment Date]]-Claims[[#This Row],[Claim date]])</f>
        <v>7</v>
      </c>
    </row>
    <row r="49" spans="1:16" x14ac:dyDescent="0.25">
      <c r="A49" t="str">
        <f>"CLM-"&amp;TEXT(Claims[[#This Row],[Sequence]],"0000")</f>
        <v>CLM-0048</v>
      </c>
      <c r="B49" cm="1">
        <f t="array" ref="B49">ROW()-ROW(Claims[#Headers])</f>
        <v>48</v>
      </c>
      <c r="C49" t="s">
        <v>7</v>
      </c>
      <c r="D49" t="s">
        <v>59</v>
      </c>
      <c r="E49" t="s">
        <v>21</v>
      </c>
      <c r="F49" s="2">
        <f>DATE(2026,5,1)+MOD(Claims[[#This Row],[Sequence]]*7,61)</f>
        <v>46174</v>
      </c>
      <c r="G49" s="2">
        <f>Claims[[#This Row],[Purchase Date]]+1+MOD(Claims[[#This Row],[Sequence]]*3,14)</f>
        <v>46179</v>
      </c>
      <c r="H49" t="s">
        <v>35</v>
      </c>
      <c r="I49" t="s">
        <v>35</v>
      </c>
      <c r="J49" t="s">
        <v>35</v>
      </c>
      <c r="K49" t="str">
        <f>IF(AND(Claims[[#This Row],[Invoice Attached]]="Yes",Claims[[#This Row],[Serial Number Valid]]="Yes",Claims[[#This Row],[Promotion Eligible]]="Yes"),"Approved","Rejected")</f>
        <v>Approved</v>
      </c>
      <c r="L49">
        <f>IF(Claims[[#This Row],[Validation Status]]="Approved",_xlfn.XLOOKUP(Claims[[#This Row],[Product]],Products[Product],Products[Cashback],0),0)</f>
        <v>250</v>
      </c>
      <c r="M49">
        <v>220</v>
      </c>
      <c r="N49" t="str">
        <f>IF(Claims[[#This Row],[Validation Status]]="Rejected","Cancelled",IF(MOD(Claims[[#This Row],[Sequence]],5)=0,"Pending","Paid"))</f>
        <v>Paid</v>
      </c>
      <c r="O49" s="2">
        <f>IF(Claims[[#This Row],[Payment Status]]="Paid",Claims[[#This Row],[Claim date]]+2+MOD(Claims[[#This Row],[Sequence]],6),"")</f>
        <v>46181</v>
      </c>
      <c r="P49">
        <f>IF(OR(Claims[[#This Row],[Payment Status]]&lt;&gt;"Paid",Claims[[#This Row],[Payment Date]]="",Claims[[#This Row],[Claim date]]=""),"",Claims[[#This Row],[Payment Date]]-Claims[[#This Row],[Claim date]])</f>
        <v>2</v>
      </c>
    </row>
    <row r="50" spans="1:16" x14ac:dyDescent="0.25">
      <c r="A50" t="str">
        <f>"CLM-"&amp;TEXT(Claims[[#This Row],[Sequence]],"0000")</f>
        <v>CLM-0049</v>
      </c>
      <c r="B50" cm="1">
        <f t="array" ref="B50">ROW()-ROW(Claims[#Headers])</f>
        <v>49</v>
      </c>
      <c r="C50" t="s">
        <v>9</v>
      </c>
      <c r="D50" t="s">
        <v>60</v>
      </c>
      <c r="E50" t="s">
        <v>15</v>
      </c>
      <c r="F50" s="2">
        <f>DATE(2026,5,1)+MOD(Claims[[#This Row],[Sequence]]*7,61)</f>
        <v>46181</v>
      </c>
      <c r="G50" s="2">
        <f>Claims[[#This Row],[Purchase Date]]+1+MOD(Claims[[#This Row],[Sequence]]*3,14)</f>
        <v>46189</v>
      </c>
      <c r="H50" t="s">
        <v>36</v>
      </c>
      <c r="I50" t="s">
        <v>35</v>
      </c>
      <c r="J50" t="s">
        <v>36</v>
      </c>
      <c r="K50" t="str">
        <f>IF(AND(Claims[[#This Row],[Invoice Attached]]="Yes",Claims[[#This Row],[Serial Number Valid]]="Yes",Claims[[#This Row],[Promotion Eligible]]="Yes"),"Approved","Rejected")</f>
        <v>Rejected</v>
      </c>
      <c r="L50">
        <f>IF(Claims[[#This Row],[Validation Status]]="Approved",_xlfn.XLOOKUP(Claims[[#This Row],[Product]],Products[Product],Products[Cashback],0),0)</f>
        <v>0</v>
      </c>
      <c r="M50">
        <v>1000</v>
      </c>
      <c r="N50" t="str">
        <f>IF(Claims[[#This Row],[Validation Status]]="Rejected","Cancelled",IF(MOD(Claims[[#This Row],[Sequence]],5)=0,"Pending","Paid"))</f>
        <v>Cancelled</v>
      </c>
      <c r="O50" s="2" t="str">
        <f>IF(Claims[[#This Row],[Payment Status]]="Paid",Claims[[#This Row],[Claim date]]+2+MOD(Claims[[#This Row],[Sequence]],6),"")</f>
        <v/>
      </c>
      <c r="P50" t="str">
        <f>IF(OR(Claims[[#This Row],[Payment Status]]&lt;&gt;"Paid",Claims[[#This Row],[Payment Date]]="",Claims[[#This Row],[Claim date]]=""),"",Claims[[#This Row],[Payment Date]]-Claims[[#This Row],[Claim date]])</f>
        <v/>
      </c>
    </row>
    <row r="51" spans="1:16" x14ac:dyDescent="0.25">
      <c r="A51" t="str">
        <f>"CLM-"&amp;TEXT(Claims[[#This Row],[Sequence]],"0000")</f>
        <v>CLM-0050</v>
      </c>
      <c r="B51" cm="1">
        <f t="array" ref="B51">ROW()-ROW(Claims[#Headers])</f>
        <v>50</v>
      </c>
      <c r="C51" t="s">
        <v>6</v>
      </c>
      <c r="D51" t="s">
        <v>61</v>
      </c>
      <c r="E51" t="s">
        <v>16</v>
      </c>
      <c r="F51" s="2">
        <f>DATE(2026,5,1)+MOD(Claims[[#This Row],[Sequence]]*7,61)</f>
        <v>46188</v>
      </c>
      <c r="G51" s="2">
        <f>Claims[[#This Row],[Purchase Date]]+1+MOD(Claims[[#This Row],[Sequence]]*3,14)</f>
        <v>46199</v>
      </c>
      <c r="H51" t="s">
        <v>36</v>
      </c>
      <c r="I51" t="s">
        <v>36</v>
      </c>
      <c r="J51" t="s">
        <v>36</v>
      </c>
      <c r="K51" t="str">
        <f>IF(AND(Claims[[#This Row],[Invoice Attached]]="Yes",Claims[[#This Row],[Serial Number Valid]]="Yes",Claims[[#This Row],[Promotion Eligible]]="Yes"),"Approved","Rejected")</f>
        <v>Rejected</v>
      </c>
      <c r="L51">
        <f>IF(Claims[[#This Row],[Validation Status]]="Approved",_xlfn.XLOOKUP(Claims[[#This Row],[Product]],Products[Product],Products[Cashback],0),0)</f>
        <v>0</v>
      </c>
      <c r="M51">
        <v>600</v>
      </c>
      <c r="N51" t="str">
        <f>IF(Claims[[#This Row],[Validation Status]]="Rejected","Cancelled",IF(MOD(Claims[[#This Row],[Sequence]],5)=0,"Pending","Paid"))</f>
        <v>Cancelled</v>
      </c>
      <c r="O51" s="2" t="str">
        <f>IF(Claims[[#This Row],[Payment Status]]="Paid",Claims[[#This Row],[Claim date]]+2+MOD(Claims[[#This Row],[Sequence]],6),"")</f>
        <v/>
      </c>
      <c r="P51" t="str">
        <f>IF(OR(Claims[[#This Row],[Payment Status]]&lt;&gt;"Paid",Claims[[#This Row],[Payment Date]]="",Claims[[#This Row],[Claim date]]=""),"",Claims[[#This Row],[Payment Date]]-Claims[[#This Row],[Claim date]])</f>
        <v/>
      </c>
    </row>
    <row r="52" spans="1:16" x14ac:dyDescent="0.25">
      <c r="A52" t="str">
        <f>"CLM-"&amp;TEXT(Claims[[#This Row],[Sequence]],"0000")</f>
        <v>CLM-0051</v>
      </c>
      <c r="B52" cm="1">
        <f t="array" ref="B52">ROW()-ROW(Claims[#Headers])</f>
        <v>51</v>
      </c>
      <c r="C52" t="s">
        <v>6</v>
      </c>
      <c r="D52" t="s">
        <v>57</v>
      </c>
      <c r="E52" t="s">
        <v>17</v>
      </c>
      <c r="F52" s="2">
        <f>DATE(2026,5,1)+MOD(Claims[[#This Row],[Sequence]]*7,61)</f>
        <v>46195</v>
      </c>
      <c r="G52" s="2">
        <f>Claims[[#This Row],[Purchase Date]]+1+MOD(Claims[[#This Row],[Sequence]]*3,14)</f>
        <v>46209</v>
      </c>
      <c r="H52" t="s">
        <v>35</v>
      </c>
      <c r="I52" t="s">
        <v>35</v>
      </c>
      <c r="J52" t="s">
        <v>35</v>
      </c>
      <c r="K52" t="str">
        <f>IF(AND(Claims[[#This Row],[Invoice Attached]]="Yes",Claims[[#This Row],[Serial Number Valid]]="Yes",Claims[[#This Row],[Promotion Eligible]]="Yes"),"Approved","Rejected")</f>
        <v>Approved</v>
      </c>
      <c r="L52">
        <f>IF(Claims[[#This Row],[Validation Status]]="Approved",_xlfn.XLOOKUP(Claims[[#This Row],[Product]],Products[Product],Products[Cashback],0),0)</f>
        <v>80</v>
      </c>
      <c r="M52">
        <v>1000</v>
      </c>
      <c r="N52" t="str">
        <f>IF(Claims[[#This Row],[Validation Status]]="Rejected","Cancelled",IF(MOD(Claims[[#This Row],[Sequence]],5)=0,"Pending","Paid"))</f>
        <v>Paid</v>
      </c>
      <c r="O52" s="2">
        <f>IF(Claims[[#This Row],[Payment Status]]="Paid",Claims[[#This Row],[Claim date]]+2+MOD(Claims[[#This Row],[Sequence]],6),"")</f>
        <v>46214</v>
      </c>
      <c r="P52">
        <f>IF(OR(Claims[[#This Row],[Payment Status]]&lt;&gt;"Paid",Claims[[#This Row],[Payment Date]]="",Claims[[#This Row],[Claim date]]=""),"",Claims[[#This Row],[Payment Date]]-Claims[[#This Row],[Claim date]])</f>
        <v>5</v>
      </c>
    </row>
    <row r="53" spans="1:16" x14ac:dyDescent="0.25">
      <c r="A53" t="str">
        <f>"CLM-"&amp;TEXT(Claims[[#This Row],[Sequence]],"0000")</f>
        <v>CLM-0052</v>
      </c>
      <c r="B53" cm="1">
        <f t="array" ref="B53">ROW()-ROW(Claims[#Headers])</f>
        <v>52</v>
      </c>
      <c r="C53" t="s">
        <v>7</v>
      </c>
      <c r="D53" t="s">
        <v>58</v>
      </c>
      <c r="E53" t="s">
        <v>18</v>
      </c>
      <c r="F53" s="2">
        <f>DATE(2026,5,1)+MOD(Claims[[#This Row],[Sequence]]*7,61)</f>
        <v>46202</v>
      </c>
      <c r="G53" s="2">
        <f>Claims[[#This Row],[Purchase Date]]+1+MOD(Claims[[#This Row],[Sequence]]*3,14)</f>
        <v>46205</v>
      </c>
      <c r="H53" t="s">
        <v>36</v>
      </c>
      <c r="I53" t="s">
        <v>35</v>
      </c>
      <c r="J53" t="s">
        <v>36</v>
      </c>
      <c r="K53" t="str">
        <f>IF(AND(Claims[[#This Row],[Invoice Attached]]="Yes",Claims[[#This Row],[Serial Number Valid]]="Yes",Claims[[#This Row],[Promotion Eligible]]="Yes"),"Approved","Rejected")</f>
        <v>Rejected</v>
      </c>
      <c r="L53">
        <f>IF(Claims[[#This Row],[Validation Status]]="Approved",_xlfn.XLOOKUP(Claims[[#This Row],[Product]],Products[Product],Products[Cashback],0),0)</f>
        <v>0</v>
      </c>
      <c r="M53">
        <v>600</v>
      </c>
      <c r="N53" t="str">
        <f>IF(Claims[[#This Row],[Validation Status]]="Rejected","Cancelled",IF(MOD(Claims[[#This Row],[Sequence]],5)=0,"Pending","Paid"))</f>
        <v>Cancelled</v>
      </c>
      <c r="O53" s="2" t="str">
        <f>IF(Claims[[#This Row],[Payment Status]]="Paid",Claims[[#This Row],[Claim date]]+2+MOD(Claims[[#This Row],[Sequence]],6),"")</f>
        <v/>
      </c>
      <c r="P53" t="str">
        <f>IF(OR(Claims[[#This Row],[Payment Status]]&lt;&gt;"Paid",Claims[[#This Row],[Payment Date]]="",Claims[[#This Row],[Claim date]]=""),"",Claims[[#This Row],[Payment Date]]-Claims[[#This Row],[Claim date]])</f>
        <v/>
      </c>
    </row>
    <row r="54" spans="1:16" x14ac:dyDescent="0.25">
      <c r="A54" t="str">
        <f>"CLM-"&amp;TEXT(Claims[[#This Row],[Sequence]],"0000")</f>
        <v>CLM-0053</v>
      </c>
      <c r="B54" cm="1">
        <f t="array" ref="B54">ROW()-ROW(Claims[#Headers])</f>
        <v>53</v>
      </c>
      <c r="C54" t="s">
        <v>9</v>
      </c>
      <c r="D54" t="s">
        <v>59</v>
      </c>
      <c r="E54" t="s">
        <v>19</v>
      </c>
      <c r="F54" s="2">
        <f>DATE(2026,5,1)+MOD(Claims[[#This Row],[Sequence]]*7,61)</f>
        <v>46148</v>
      </c>
      <c r="G54" s="2">
        <f>Claims[[#This Row],[Purchase Date]]+1+MOD(Claims[[#This Row],[Sequence]]*3,14)</f>
        <v>46154</v>
      </c>
      <c r="H54" t="s">
        <v>35</v>
      </c>
      <c r="I54" t="s">
        <v>36</v>
      </c>
      <c r="J54" t="s">
        <v>35</v>
      </c>
      <c r="K54" t="str">
        <f>IF(AND(Claims[[#This Row],[Invoice Attached]]="Yes",Claims[[#This Row],[Serial Number Valid]]="Yes",Claims[[#This Row],[Promotion Eligible]]="Yes"),"Approved","Rejected")</f>
        <v>Rejected</v>
      </c>
      <c r="L54">
        <f>IF(Claims[[#This Row],[Validation Status]]="Approved",_xlfn.XLOOKUP(Claims[[#This Row],[Product]],Products[Product],Products[Cashback],0),0)</f>
        <v>0</v>
      </c>
      <c r="M54">
        <v>1100</v>
      </c>
      <c r="N54" t="str">
        <f>IF(Claims[[#This Row],[Validation Status]]="Rejected","Cancelled",IF(MOD(Claims[[#This Row],[Sequence]],5)=0,"Pending","Paid"))</f>
        <v>Cancelled</v>
      </c>
      <c r="O54" s="2" t="str">
        <f>IF(Claims[[#This Row],[Payment Status]]="Paid",Claims[[#This Row],[Claim date]]+2+MOD(Claims[[#This Row],[Sequence]],6),"")</f>
        <v/>
      </c>
      <c r="P54" t="str">
        <f>IF(OR(Claims[[#This Row],[Payment Status]]&lt;&gt;"Paid",Claims[[#This Row],[Payment Date]]="",Claims[[#This Row],[Claim date]]=""),"",Claims[[#This Row],[Payment Date]]-Claims[[#This Row],[Claim date]])</f>
        <v/>
      </c>
    </row>
    <row r="55" spans="1:16" x14ac:dyDescent="0.25">
      <c r="A55" t="str">
        <f>"CLM-"&amp;TEXT(Claims[[#This Row],[Sequence]],"0000")</f>
        <v>CLM-0054</v>
      </c>
      <c r="B55" cm="1">
        <f t="array" ref="B55">ROW()-ROW(Claims[#Headers])</f>
        <v>54</v>
      </c>
      <c r="C55" t="s">
        <v>6</v>
      </c>
      <c r="D55" t="s">
        <v>60</v>
      </c>
      <c r="E55" t="s">
        <v>20</v>
      </c>
      <c r="F55" s="2">
        <f>DATE(2026,5,1)+MOD(Claims[[#This Row],[Sequence]]*7,61)</f>
        <v>46155</v>
      </c>
      <c r="G55" s="2">
        <f>Claims[[#This Row],[Purchase Date]]+1+MOD(Claims[[#This Row],[Sequence]]*3,14)</f>
        <v>46164</v>
      </c>
      <c r="H55" t="s">
        <v>35</v>
      </c>
      <c r="I55" t="s">
        <v>35</v>
      </c>
      <c r="J55" t="s">
        <v>35</v>
      </c>
      <c r="K55" t="str">
        <f>IF(AND(Claims[[#This Row],[Invoice Attached]]="Yes",Claims[[#This Row],[Serial Number Valid]]="Yes",Claims[[#This Row],[Promotion Eligible]]="Yes"),"Approved","Rejected")</f>
        <v>Approved</v>
      </c>
      <c r="L55">
        <f>IF(Claims[[#This Row],[Validation Status]]="Approved",_xlfn.XLOOKUP(Claims[[#This Row],[Product]],Products[Product],Products[Cashback],0),0)</f>
        <v>70</v>
      </c>
      <c r="M55">
        <v>1000</v>
      </c>
      <c r="N55" t="str">
        <f>IF(Claims[[#This Row],[Validation Status]]="Rejected","Cancelled",IF(MOD(Claims[[#This Row],[Sequence]],5)=0,"Pending","Paid"))</f>
        <v>Paid</v>
      </c>
      <c r="O55" s="2">
        <f>IF(Claims[[#This Row],[Payment Status]]="Paid",Claims[[#This Row],[Claim date]]+2+MOD(Claims[[#This Row],[Sequence]],6),"")</f>
        <v>46166</v>
      </c>
      <c r="P55">
        <f>IF(OR(Claims[[#This Row],[Payment Status]]&lt;&gt;"Paid",Claims[[#This Row],[Payment Date]]="",Claims[[#This Row],[Claim date]]=""),"",Claims[[#This Row],[Payment Date]]-Claims[[#This Row],[Claim date]])</f>
        <v>2</v>
      </c>
    </row>
    <row r="56" spans="1:16" x14ac:dyDescent="0.25">
      <c r="A56" t="str">
        <f>"CLM-"&amp;TEXT(Claims[[#This Row],[Sequence]],"0000")</f>
        <v>CLM-0055</v>
      </c>
      <c r="B56" cm="1">
        <f t="array" ref="B56">ROW()-ROW(Claims[#Headers])</f>
        <v>55</v>
      </c>
      <c r="C56" t="s">
        <v>7</v>
      </c>
      <c r="D56" t="s">
        <v>61</v>
      </c>
      <c r="E56" t="s">
        <v>8</v>
      </c>
      <c r="F56" s="2">
        <f>DATE(2026,5,1)+MOD(Claims[[#This Row],[Sequence]]*7,61)</f>
        <v>46162</v>
      </c>
      <c r="G56" s="2">
        <f>Claims[[#This Row],[Purchase Date]]+1+MOD(Claims[[#This Row],[Sequence]]*3,14)</f>
        <v>46174</v>
      </c>
      <c r="H56" t="s">
        <v>36</v>
      </c>
      <c r="I56" t="s">
        <v>35</v>
      </c>
      <c r="J56" t="s">
        <v>35</v>
      </c>
      <c r="K56" t="str">
        <f>IF(AND(Claims[[#This Row],[Invoice Attached]]="Yes",Claims[[#This Row],[Serial Number Valid]]="Yes",Claims[[#This Row],[Promotion Eligible]]="Yes"),"Approved","Rejected")</f>
        <v>Rejected</v>
      </c>
      <c r="L56">
        <f>IF(Claims[[#This Row],[Validation Status]]="Approved",_xlfn.XLOOKUP(Claims[[#This Row],[Product]],Products[Product],Products[Cashback],0),0)</f>
        <v>0</v>
      </c>
      <c r="M56">
        <v>200</v>
      </c>
      <c r="N56" t="str">
        <f>IF(Claims[[#This Row],[Validation Status]]="Rejected","Cancelled",IF(MOD(Claims[[#This Row],[Sequence]],5)=0,"Pending","Paid"))</f>
        <v>Cancelled</v>
      </c>
      <c r="O56" s="2" t="str">
        <f>IF(Claims[[#This Row],[Payment Status]]="Paid",Claims[[#This Row],[Claim date]]+2+MOD(Claims[[#This Row],[Sequence]],6),"")</f>
        <v/>
      </c>
      <c r="P56" t="str">
        <f>IF(OR(Claims[[#This Row],[Payment Status]]&lt;&gt;"Paid",Claims[[#This Row],[Payment Date]]="",Claims[[#This Row],[Claim date]]=""),"",Claims[[#This Row],[Payment Date]]-Claims[[#This Row],[Claim date]])</f>
        <v/>
      </c>
    </row>
    <row r="57" spans="1:16" x14ac:dyDescent="0.25">
      <c r="A57" t="str">
        <f>"CLM-"&amp;TEXT(Claims[[#This Row],[Sequence]],"0000")</f>
        <v>CLM-0056</v>
      </c>
      <c r="B57" cm="1">
        <f t="array" ref="B57">ROW()-ROW(Claims[#Headers])</f>
        <v>56</v>
      </c>
      <c r="C57" t="s">
        <v>9</v>
      </c>
      <c r="D57" t="s">
        <v>57</v>
      </c>
      <c r="E57" t="s">
        <v>21</v>
      </c>
      <c r="F57" s="2">
        <f>DATE(2026,5,1)+MOD(Claims[[#This Row],[Sequence]]*7,61)</f>
        <v>46169</v>
      </c>
      <c r="G57" s="2">
        <f>Claims[[#This Row],[Purchase Date]]+1+MOD(Claims[[#This Row],[Sequence]]*3,14)</f>
        <v>46170</v>
      </c>
      <c r="H57" t="s">
        <v>35</v>
      </c>
      <c r="I57" t="s">
        <v>36</v>
      </c>
      <c r="J57" t="s">
        <v>36</v>
      </c>
      <c r="K57" t="str">
        <f>IF(AND(Claims[[#This Row],[Invoice Attached]]="Yes",Claims[[#This Row],[Serial Number Valid]]="Yes",Claims[[#This Row],[Promotion Eligible]]="Yes"),"Approved","Rejected")</f>
        <v>Rejected</v>
      </c>
      <c r="L57">
        <f>IF(Claims[[#This Row],[Validation Status]]="Approved",_xlfn.XLOOKUP(Claims[[#This Row],[Product]],Products[Product],Products[Cashback],0),0)</f>
        <v>0</v>
      </c>
      <c r="M57">
        <v>650</v>
      </c>
      <c r="N57" t="str">
        <f>IF(Claims[[#This Row],[Validation Status]]="Rejected","Cancelled",IF(MOD(Claims[[#This Row],[Sequence]],5)=0,"Pending","Paid"))</f>
        <v>Cancelled</v>
      </c>
      <c r="O57" s="2" t="str">
        <f>IF(Claims[[#This Row],[Payment Status]]="Paid",Claims[[#This Row],[Claim date]]+2+MOD(Claims[[#This Row],[Sequence]],6),"")</f>
        <v/>
      </c>
      <c r="P57" t="str">
        <f>IF(OR(Claims[[#This Row],[Payment Status]]&lt;&gt;"Paid",Claims[[#This Row],[Payment Date]]="",Claims[[#This Row],[Claim date]]=""),"",Claims[[#This Row],[Payment Date]]-Claims[[#This Row],[Claim date]])</f>
        <v/>
      </c>
    </row>
    <row r="58" spans="1:16" x14ac:dyDescent="0.25">
      <c r="A58" t="str">
        <f>"CLM-"&amp;TEXT(Claims[[#This Row],[Sequence]],"0000")</f>
        <v>CLM-0057</v>
      </c>
      <c r="B58" cm="1">
        <f t="array" ref="B58">ROW()-ROW(Claims[#Headers])</f>
        <v>57</v>
      </c>
      <c r="C58" t="s">
        <v>6</v>
      </c>
      <c r="D58" t="s">
        <v>58</v>
      </c>
      <c r="E58" t="s">
        <v>15</v>
      </c>
      <c r="F58" s="2">
        <f>DATE(2026,5,1)+MOD(Claims[[#This Row],[Sequence]]*7,61)</f>
        <v>46176</v>
      </c>
      <c r="G58" s="2">
        <f>Claims[[#This Row],[Purchase Date]]+1+MOD(Claims[[#This Row],[Sequence]]*3,14)</f>
        <v>46180</v>
      </c>
      <c r="H58" t="s">
        <v>35</v>
      </c>
      <c r="I58" t="s">
        <v>35</v>
      </c>
      <c r="J58" t="s">
        <v>35</v>
      </c>
      <c r="K58" t="str">
        <f>IF(AND(Claims[[#This Row],[Invoice Attached]]="Yes",Claims[[#This Row],[Serial Number Valid]]="Yes",Claims[[#This Row],[Promotion Eligible]]="Yes"),"Approved","Rejected")</f>
        <v>Approved</v>
      </c>
      <c r="L58">
        <f>IF(Claims[[#This Row],[Validation Status]]="Approved",_xlfn.XLOOKUP(Claims[[#This Row],[Product]],Products[Product],Products[Cashback],0),0)</f>
        <v>150</v>
      </c>
      <c r="M58">
        <v>1050</v>
      </c>
      <c r="N58" t="str">
        <f>IF(Claims[[#This Row],[Validation Status]]="Rejected","Cancelled",IF(MOD(Claims[[#This Row],[Sequence]],5)=0,"Pending","Paid"))</f>
        <v>Paid</v>
      </c>
      <c r="O58" s="2">
        <f>IF(Claims[[#This Row],[Payment Status]]="Paid",Claims[[#This Row],[Claim date]]+2+MOD(Claims[[#This Row],[Sequence]],6),"")</f>
        <v>46185</v>
      </c>
      <c r="P58">
        <f>IF(OR(Claims[[#This Row],[Payment Status]]&lt;&gt;"Paid",Claims[[#This Row],[Payment Date]]="",Claims[[#This Row],[Claim date]]=""),"",Claims[[#This Row],[Payment Date]]-Claims[[#This Row],[Claim date]])</f>
        <v>5</v>
      </c>
    </row>
    <row r="59" spans="1:16" x14ac:dyDescent="0.25">
      <c r="A59" t="str">
        <f>"CLM-"&amp;TEXT(Claims[[#This Row],[Sequence]],"0000")</f>
        <v>CLM-0058</v>
      </c>
      <c r="B59" cm="1">
        <f t="array" ref="B59">ROW()-ROW(Claims[#Headers])</f>
        <v>58</v>
      </c>
      <c r="C59" t="s">
        <v>7</v>
      </c>
      <c r="D59" t="s">
        <v>59</v>
      </c>
      <c r="E59" t="s">
        <v>16</v>
      </c>
      <c r="F59" s="2">
        <f>DATE(2026,5,1)+MOD(Claims[[#This Row],[Sequence]]*7,61)</f>
        <v>46183</v>
      </c>
      <c r="G59" s="2">
        <f>Claims[[#This Row],[Purchase Date]]+1+MOD(Claims[[#This Row],[Sequence]]*3,14)</f>
        <v>46190</v>
      </c>
      <c r="H59" t="s">
        <v>35</v>
      </c>
      <c r="I59" t="s">
        <v>35</v>
      </c>
      <c r="J59" t="s">
        <v>35</v>
      </c>
      <c r="K59" t="str">
        <f>IF(AND(Claims[[#This Row],[Invoice Attached]]="Yes",Claims[[#This Row],[Serial Number Valid]]="Yes",Claims[[#This Row],[Promotion Eligible]]="Yes"),"Approved","Rejected")</f>
        <v>Approved</v>
      </c>
      <c r="L59">
        <f>IF(Claims[[#This Row],[Validation Status]]="Approved",_xlfn.XLOOKUP(Claims[[#This Row],[Product]],Products[Product],Products[Cashback],0),0)</f>
        <v>200</v>
      </c>
      <c r="M59">
        <v>220</v>
      </c>
      <c r="N59" t="str">
        <f>IF(Claims[[#This Row],[Validation Status]]="Rejected","Cancelled",IF(MOD(Claims[[#This Row],[Sequence]],5)=0,"Pending","Paid"))</f>
        <v>Paid</v>
      </c>
      <c r="O59" s="2">
        <f>IF(Claims[[#This Row],[Payment Status]]="Paid",Claims[[#This Row],[Claim date]]+2+MOD(Claims[[#This Row],[Sequence]],6),"")</f>
        <v>46196</v>
      </c>
      <c r="P59">
        <f>IF(OR(Claims[[#This Row],[Payment Status]]&lt;&gt;"Paid",Claims[[#This Row],[Payment Date]]="",Claims[[#This Row],[Claim date]]=""),"",Claims[[#This Row],[Payment Date]]-Claims[[#This Row],[Claim date]])</f>
        <v>6</v>
      </c>
    </row>
    <row r="60" spans="1:16" x14ac:dyDescent="0.25">
      <c r="A60" t="str">
        <f>"CLM-"&amp;TEXT(Claims[[#This Row],[Sequence]],"0000")</f>
        <v>CLM-0059</v>
      </c>
      <c r="B60" cm="1">
        <f t="array" ref="B60">ROW()-ROW(Claims[#Headers])</f>
        <v>59</v>
      </c>
      <c r="C60" t="s">
        <v>9</v>
      </c>
      <c r="D60" t="s">
        <v>60</v>
      </c>
      <c r="E60" t="s">
        <v>17</v>
      </c>
      <c r="F60" s="2">
        <f>DATE(2026,5,1)+MOD(Claims[[#This Row],[Sequence]]*7,61)</f>
        <v>46190</v>
      </c>
      <c r="G60" s="2">
        <f>Claims[[#This Row],[Purchase Date]]+1+MOD(Claims[[#This Row],[Sequence]]*3,14)</f>
        <v>46200</v>
      </c>
      <c r="H60" t="s">
        <v>36</v>
      </c>
      <c r="I60" t="s">
        <v>35</v>
      </c>
      <c r="J60" t="s">
        <v>36</v>
      </c>
      <c r="K60" t="str">
        <f>IF(AND(Claims[[#This Row],[Invoice Attached]]="Yes",Claims[[#This Row],[Serial Number Valid]]="Yes",Claims[[#This Row],[Promotion Eligible]]="Yes"),"Approved","Rejected")</f>
        <v>Rejected</v>
      </c>
      <c r="L60">
        <f>IF(Claims[[#This Row],[Validation Status]]="Approved",_xlfn.XLOOKUP(Claims[[#This Row],[Product]],Products[Product],Products[Cashback],0),0)</f>
        <v>0</v>
      </c>
      <c r="M60">
        <v>1000</v>
      </c>
      <c r="N60" t="str">
        <f>IF(Claims[[#This Row],[Validation Status]]="Rejected","Cancelled",IF(MOD(Claims[[#This Row],[Sequence]],5)=0,"Pending","Paid"))</f>
        <v>Cancelled</v>
      </c>
      <c r="O60" s="2" t="str">
        <f>IF(Claims[[#This Row],[Payment Status]]="Paid",Claims[[#This Row],[Claim date]]+2+MOD(Claims[[#This Row],[Sequence]],6),"")</f>
        <v/>
      </c>
      <c r="P60" t="str">
        <f>IF(OR(Claims[[#This Row],[Payment Status]]&lt;&gt;"Paid",Claims[[#This Row],[Payment Date]]="",Claims[[#This Row],[Claim date]]=""),"",Claims[[#This Row],[Payment Date]]-Claims[[#This Row],[Claim date]])</f>
        <v/>
      </c>
    </row>
    <row r="61" spans="1:16" x14ac:dyDescent="0.25">
      <c r="A61" t="str">
        <f>"CLM-"&amp;TEXT(Claims[[#This Row],[Sequence]],"0000")</f>
        <v>CLM-0060</v>
      </c>
      <c r="B61" cm="1">
        <f t="array" ref="B61">ROW()-ROW(Claims[#Headers])</f>
        <v>60</v>
      </c>
      <c r="C61" t="s">
        <v>6</v>
      </c>
      <c r="D61" t="s">
        <v>61</v>
      </c>
      <c r="E61" t="s">
        <v>18</v>
      </c>
      <c r="F61" s="2">
        <f>DATE(2026,5,1)+MOD(Claims[[#This Row],[Sequence]]*7,61)</f>
        <v>46197</v>
      </c>
      <c r="G61" s="2">
        <f>Claims[[#This Row],[Purchase Date]]+1+MOD(Claims[[#This Row],[Sequence]]*3,14)</f>
        <v>46210</v>
      </c>
      <c r="H61" t="s">
        <v>36</v>
      </c>
      <c r="I61" t="s">
        <v>36</v>
      </c>
      <c r="J61" t="s">
        <v>36</v>
      </c>
      <c r="K61" t="str">
        <f>IF(AND(Claims[[#This Row],[Invoice Attached]]="Yes",Claims[[#This Row],[Serial Number Valid]]="Yes",Claims[[#This Row],[Promotion Eligible]]="Yes"),"Approved","Rejected")</f>
        <v>Rejected</v>
      </c>
      <c r="L61">
        <f>IF(Claims[[#This Row],[Validation Status]]="Approved",_xlfn.XLOOKUP(Claims[[#This Row],[Product]],Products[Product],Products[Cashback],0),0)</f>
        <v>0</v>
      </c>
      <c r="M61">
        <v>600</v>
      </c>
      <c r="N61" t="str">
        <f>IF(Claims[[#This Row],[Validation Status]]="Rejected","Cancelled",IF(MOD(Claims[[#This Row],[Sequence]],5)=0,"Pending","Paid"))</f>
        <v>Cancelled</v>
      </c>
      <c r="O61" s="2" t="str">
        <f>IF(Claims[[#This Row],[Payment Status]]="Paid",Claims[[#This Row],[Claim date]]+2+MOD(Claims[[#This Row],[Sequence]],6),"")</f>
        <v/>
      </c>
      <c r="P61" t="str">
        <f>IF(OR(Claims[[#This Row],[Payment Status]]&lt;&gt;"Paid",Claims[[#This Row],[Payment Date]]="",Claims[[#This Row],[Claim date]]=""),"",Claims[[#This Row],[Payment Date]]-Claims[[#This Row],[Claim date]])</f>
        <v/>
      </c>
    </row>
    <row r="62" spans="1:16" x14ac:dyDescent="0.25">
      <c r="A62" t="str">
        <f>"CLM-"&amp;TEXT(Claims[[#This Row],[Sequence]],"0000")</f>
        <v>CLM-0061</v>
      </c>
      <c r="B62" cm="1">
        <f t="array" ref="B62">ROW()-ROW(Claims[#Headers])</f>
        <v>61</v>
      </c>
      <c r="C62" t="s">
        <v>6</v>
      </c>
      <c r="D62" t="s">
        <v>57</v>
      </c>
      <c r="E62" t="s">
        <v>19</v>
      </c>
      <c r="F62" s="2">
        <f>DATE(2026,5,1)+MOD(Claims[[#This Row],[Sequence]]*7,61)</f>
        <v>46143</v>
      </c>
      <c r="G62" s="2">
        <f>Claims[[#This Row],[Purchase Date]]+1+MOD(Claims[[#This Row],[Sequence]]*3,14)</f>
        <v>46145</v>
      </c>
      <c r="H62" t="s">
        <v>35</v>
      </c>
      <c r="I62" t="s">
        <v>35</v>
      </c>
      <c r="J62" t="s">
        <v>35</v>
      </c>
      <c r="K62" t="str">
        <f>IF(AND(Claims[[#This Row],[Invoice Attached]]="Yes",Claims[[#This Row],[Serial Number Valid]]="Yes",Claims[[#This Row],[Promotion Eligible]]="Yes"),"Approved","Rejected")</f>
        <v>Approved</v>
      </c>
      <c r="L62">
        <f>IF(Claims[[#This Row],[Validation Status]]="Approved",_xlfn.XLOOKUP(Claims[[#This Row],[Product]],Products[Product],Products[Cashback],0),0)</f>
        <v>50</v>
      </c>
      <c r="M62">
        <v>1000</v>
      </c>
      <c r="N62" t="str">
        <f>IF(Claims[[#This Row],[Validation Status]]="Rejected","Cancelled",IF(MOD(Claims[[#This Row],[Sequence]],5)=0,"Pending","Paid"))</f>
        <v>Paid</v>
      </c>
      <c r="O62" s="2">
        <f>IF(Claims[[#This Row],[Payment Status]]="Paid",Claims[[#This Row],[Claim date]]+2+MOD(Claims[[#This Row],[Sequence]],6),"")</f>
        <v>46148</v>
      </c>
      <c r="P62">
        <f>IF(OR(Claims[[#This Row],[Payment Status]]&lt;&gt;"Paid",Claims[[#This Row],[Payment Date]]="",Claims[[#This Row],[Claim date]]=""),"",Claims[[#This Row],[Payment Date]]-Claims[[#This Row],[Claim date]])</f>
        <v>3</v>
      </c>
    </row>
    <row r="63" spans="1:16" x14ac:dyDescent="0.25">
      <c r="A63" t="str">
        <f>"CLM-"&amp;TEXT(Claims[[#This Row],[Sequence]],"0000")</f>
        <v>CLM-0062</v>
      </c>
      <c r="B63" cm="1">
        <f t="array" ref="B63">ROW()-ROW(Claims[#Headers])</f>
        <v>62</v>
      </c>
      <c r="C63" t="s">
        <v>7</v>
      </c>
      <c r="D63" t="s">
        <v>58</v>
      </c>
      <c r="E63" t="s">
        <v>20</v>
      </c>
      <c r="F63" s="2">
        <f>DATE(2026,5,1)+MOD(Claims[[#This Row],[Sequence]]*7,61)</f>
        <v>46150</v>
      </c>
      <c r="G63" s="2">
        <f>Claims[[#This Row],[Purchase Date]]+1+MOD(Claims[[#This Row],[Sequence]]*3,14)</f>
        <v>46155</v>
      </c>
      <c r="H63" t="s">
        <v>36</v>
      </c>
      <c r="I63" t="s">
        <v>35</v>
      </c>
      <c r="J63" t="s">
        <v>36</v>
      </c>
      <c r="K63" t="str">
        <f>IF(AND(Claims[[#This Row],[Invoice Attached]]="Yes",Claims[[#This Row],[Serial Number Valid]]="Yes",Claims[[#This Row],[Promotion Eligible]]="Yes"),"Approved","Rejected")</f>
        <v>Rejected</v>
      </c>
      <c r="L63">
        <f>IF(Claims[[#This Row],[Validation Status]]="Approved",_xlfn.XLOOKUP(Claims[[#This Row],[Product]],Products[Product],Products[Cashback],0),0)</f>
        <v>0</v>
      </c>
      <c r="M63">
        <v>600</v>
      </c>
      <c r="N63" t="str">
        <f>IF(Claims[[#This Row],[Validation Status]]="Rejected","Cancelled",IF(MOD(Claims[[#This Row],[Sequence]],5)=0,"Pending","Paid"))</f>
        <v>Cancelled</v>
      </c>
      <c r="O63" s="2" t="str">
        <f>IF(Claims[[#This Row],[Payment Status]]="Paid",Claims[[#This Row],[Claim date]]+2+MOD(Claims[[#This Row],[Sequence]],6),"")</f>
        <v/>
      </c>
      <c r="P63" t="str">
        <f>IF(OR(Claims[[#This Row],[Payment Status]]&lt;&gt;"Paid",Claims[[#This Row],[Payment Date]]="",Claims[[#This Row],[Claim date]]=""),"",Claims[[#This Row],[Payment Date]]-Claims[[#This Row],[Claim date]])</f>
        <v/>
      </c>
    </row>
    <row r="64" spans="1:16" x14ac:dyDescent="0.25">
      <c r="A64" t="str">
        <f>"CLM-"&amp;TEXT(Claims[[#This Row],[Sequence]],"0000")</f>
        <v>CLM-0063</v>
      </c>
      <c r="B64" cm="1">
        <f t="array" ref="B64">ROW()-ROW(Claims[#Headers])</f>
        <v>63</v>
      </c>
      <c r="C64" t="s">
        <v>9</v>
      </c>
      <c r="D64" t="s">
        <v>59</v>
      </c>
      <c r="E64" t="s">
        <v>8</v>
      </c>
      <c r="F64" s="2">
        <f>DATE(2026,5,1)+MOD(Claims[[#This Row],[Sequence]]*7,61)</f>
        <v>46157</v>
      </c>
      <c r="G64" s="2">
        <f>Claims[[#This Row],[Purchase Date]]+1+MOD(Claims[[#This Row],[Sequence]]*3,14)</f>
        <v>46165</v>
      </c>
      <c r="H64" t="s">
        <v>35</v>
      </c>
      <c r="I64" t="s">
        <v>36</v>
      </c>
      <c r="J64" t="s">
        <v>35</v>
      </c>
      <c r="K64" t="str">
        <f>IF(AND(Claims[[#This Row],[Invoice Attached]]="Yes",Claims[[#This Row],[Serial Number Valid]]="Yes",Claims[[#This Row],[Promotion Eligible]]="Yes"),"Approved","Rejected")</f>
        <v>Rejected</v>
      </c>
      <c r="L64">
        <f>IF(Claims[[#This Row],[Validation Status]]="Approved",_xlfn.XLOOKUP(Claims[[#This Row],[Product]],Products[Product],Products[Cashback],0),0)</f>
        <v>0</v>
      </c>
      <c r="M64">
        <v>1100</v>
      </c>
      <c r="N64" t="str">
        <f>IF(Claims[[#This Row],[Validation Status]]="Rejected","Cancelled",IF(MOD(Claims[[#This Row],[Sequence]],5)=0,"Pending","Paid"))</f>
        <v>Cancelled</v>
      </c>
      <c r="O64" s="2" t="str">
        <f>IF(Claims[[#This Row],[Payment Status]]="Paid",Claims[[#This Row],[Claim date]]+2+MOD(Claims[[#This Row],[Sequence]],6),"")</f>
        <v/>
      </c>
      <c r="P64" t="str">
        <f>IF(OR(Claims[[#This Row],[Payment Status]]&lt;&gt;"Paid",Claims[[#This Row],[Payment Date]]="",Claims[[#This Row],[Claim date]]=""),"",Claims[[#This Row],[Payment Date]]-Claims[[#This Row],[Claim date]])</f>
        <v/>
      </c>
    </row>
    <row r="65" spans="1:16" x14ac:dyDescent="0.25">
      <c r="A65" t="str">
        <f>"CLM-"&amp;TEXT(Claims[[#This Row],[Sequence]],"0000")</f>
        <v>CLM-0064</v>
      </c>
      <c r="B65" cm="1">
        <f t="array" ref="B65">ROW()-ROW(Claims[#Headers])</f>
        <v>64</v>
      </c>
      <c r="C65" t="s">
        <v>6</v>
      </c>
      <c r="D65" t="s">
        <v>60</v>
      </c>
      <c r="E65" t="s">
        <v>21</v>
      </c>
      <c r="F65" s="2">
        <f>DATE(2026,5,1)+MOD(Claims[[#This Row],[Sequence]]*7,61)</f>
        <v>46164</v>
      </c>
      <c r="G65" s="2">
        <f>Claims[[#This Row],[Purchase Date]]+1+MOD(Claims[[#This Row],[Sequence]]*3,14)</f>
        <v>46175</v>
      </c>
      <c r="H65" t="s">
        <v>35</v>
      </c>
      <c r="I65" t="s">
        <v>35</v>
      </c>
      <c r="J65" t="s">
        <v>35</v>
      </c>
      <c r="K65" t="str">
        <f>IF(AND(Claims[[#This Row],[Invoice Attached]]="Yes",Claims[[#This Row],[Serial Number Valid]]="Yes",Claims[[#This Row],[Promotion Eligible]]="Yes"),"Approved","Rejected")</f>
        <v>Approved</v>
      </c>
      <c r="L65">
        <f>IF(Claims[[#This Row],[Validation Status]]="Approved",_xlfn.XLOOKUP(Claims[[#This Row],[Product]],Products[Product],Products[Cashback],0),0)</f>
        <v>250</v>
      </c>
      <c r="M65">
        <v>1000</v>
      </c>
      <c r="N65" t="str">
        <f>IF(Claims[[#This Row],[Validation Status]]="Rejected","Cancelled",IF(MOD(Claims[[#This Row],[Sequence]],5)=0,"Pending","Paid"))</f>
        <v>Paid</v>
      </c>
      <c r="O65" s="2">
        <f>IF(Claims[[#This Row],[Payment Status]]="Paid",Claims[[#This Row],[Claim date]]+2+MOD(Claims[[#This Row],[Sequence]],6),"")</f>
        <v>46181</v>
      </c>
      <c r="P65">
        <f>IF(OR(Claims[[#This Row],[Payment Status]]&lt;&gt;"Paid",Claims[[#This Row],[Payment Date]]="",Claims[[#This Row],[Claim date]]=""),"",Claims[[#This Row],[Payment Date]]-Claims[[#This Row],[Claim date]])</f>
        <v>6</v>
      </c>
    </row>
    <row r="66" spans="1:16" x14ac:dyDescent="0.25">
      <c r="A66" t="str">
        <f>"CLM-"&amp;TEXT(Claims[[#This Row],[Sequence]],"0000")</f>
        <v>CLM-0065</v>
      </c>
      <c r="B66" cm="1">
        <f t="array" ref="B66">ROW()-ROW(Claims[#Headers])</f>
        <v>65</v>
      </c>
      <c r="C66" t="s">
        <v>7</v>
      </c>
      <c r="D66" t="s">
        <v>61</v>
      </c>
      <c r="E66" t="s">
        <v>15</v>
      </c>
      <c r="F66" s="2">
        <f>DATE(2026,5,1)+MOD(Claims[[#This Row],[Sequence]]*7,61)</f>
        <v>46171</v>
      </c>
      <c r="G66" s="2">
        <f>Claims[[#This Row],[Purchase Date]]+1+MOD(Claims[[#This Row],[Sequence]]*3,14)</f>
        <v>46185</v>
      </c>
      <c r="H66" t="s">
        <v>36</v>
      </c>
      <c r="I66" t="s">
        <v>35</v>
      </c>
      <c r="J66" t="s">
        <v>35</v>
      </c>
      <c r="K66" t="str">
        <f>IF(AND(Claims[[#This Row],[Invoice Attached]]="Yes",Claims[[#This Row],[Serial Number Valid]]="Yes",Claims[[#This Row],[Promotion Eligible]]="Yes"),"Approved","Rejected")</f>
        <v>Rejected</v>
      </c>
      <c r="L66">
        <f>IF(Claims[[#This Row],[Validation Status]]="Approved",_xlfn.XLOOKUP(Claims[[#This Row],[Product]],Products[Product],Products[Cashback],0),0)</f>
        <v>0</v>
      </c>
      <c r="M66">
        <v>200</v>
      </c>
      <c r="N66" t="str">
        <f>IF(Claims[[#This Row],[Validation Status]]="Rejected","Cancelled",IF(MOD(Claims[[#This Row],[Sequence]],5)=0,"Pending","Paid"))</f>
        <v>Cancelled</v>
      </c>
      <c r="O66" s="2" t="str">
        <f>IF(Claims[[#This Row],[Payment Status]]="Paid",Claims[[#This Row],[Claim date]]+2+MOD(Claims[[#This Row],[Sequence]],6),"")</f>
        <v/>
      </c>
      <c r="P66" t="str">
        <f>IF(OR(Claims[[#This Row],[Payment Status]]&lt;&gt;"Paid",Claims[[#This Row],[Payment Date]]="",Claims[[#This Row],[Claim date]]=""),"",Claims[[#This Row],[Payment Date]]-Claims[[#This Row],[Claim date]])</f>
        <v/>
      </c>
    </row>
    <row r="67" spans="1:16" x14ac:dyDescent="0.25">
      <c r="A67" t="str">
        <f>"CLM-"&amp;TEXT(Claims[[#This Row],[Sequence]],"0000")</f>
        <v>CLM-0066</v>
      </c>
      <c r="B67" cm="1">
        <f t="array" ref="B67">ROW()-ROW(Claims[#Headers])</f>
        <v>66</v>
      </c>
      <c r="C67" t="s">
        <v>9</v>
      </c>
      <c r="D67" t="s">
        <v>57</v>
      </c>
      <c r="E67" t="s">
        <v>16</v>
      </c>
      <c r="F67" s="2">
        <f>DATE(2026,5,1)+MOD(Claims[[#This Row],[Sequence]]*7,61)</f>
        <v>46178</v>
      </c>
      <c r="G67" s="2">
        <f>Claims[[#This Row],[Purchase Date]]+1+MOD(Claims[[#This Row],[Sequence]]*3,14)</f>
        <v>46181</v>
      </c>
      <c r="H67" t="s">
        <v>35</v>
      </c>
      <c r="I67" t="s">
        <v>36</v>
      </c>
      <c r="J67" t="s">
        <v>36</v>
      </c>
      <c r="K67" t="str">
        <f>IF(AND(Claims[[#This Row],[Invoice Attached]]="Yes",Claims[[#This Row],[Serial Number Valid]]="Yes",Claims[[#This Row],[Promotion Eligible]]="Yes"),"Approved","Rejected")</f>
        <v>Rejected</v>
      </c>
      <c r="L67">
        <f>IF(Claims[[#This Row],[Validation Status]]="Approved",_xlfn.XLOOKUP(Claims[[#This Row],[Product]],Products[Product],Products[Cashback],0),0)</f>
        <v>0</v>
      </c>
      <c r="M67">
        <v>650</v>
      </c>
      <c r="N67" t="str">
        <f>IF(Claims[[#This Row],[Validation Status]]="Rejected","Cancelled",IF(MOD(Claims[[#This Row],[Sequence]],5)=0,"Pending","Paid"))</f>
        <v>Cancelled</v>
      </c>
      <c r="O67" s="2" t="str">
        <f>IF(Claims[[#This Row],[Payment Status]]="Paid",Claims[[#This Row],[Claim date]]+2+MOD(Claims[[#This Row],[Sequence]],6),"")</f>
        <v/>
      </c>
      <c r="P67" t="str">
        <f>IF(OR(Claims[[#This Row],[Payment Status]]&lt;&gt;"Paid",Claims[[#This Row],[Payment Date]]="",Claims[[#This Row],[Claim date]]=""),"",Claims[[#This Row],[Payment Date]]-Claims[[#This Row],[Claim date]])</f>
        <v/>
      </c>
    </row>
    <row r="68" spans="1:16" x14ac:dyDescent="0.25">
      <c r="A68" t="str">
        <f>"CLM-"&amp;TEXT(Claims[[#This Row],[Sequence]],"0000")</f>
        <v>CLM-0067</v>
      </c>
      <c r="B68" cm="1">
        <f t="array" ref="B68">ROW()-ROW(Claims[#Headers])</f>
        <v>67</v>
      </c>
      <c r="C68" t="s">
        <v>6</v>
      </c>
      <c r="D68" t="s">
        <v>58</v>
      </c>
      <c r="E68" t="s">
        <v>17</v>
      </c>
      <c r="F68" s="2">
        <f>DATE(2026,5,1)+MOD(Claims[[#This Row],[Sequence]]*7,61)</f>
        <v>46185</v>
      </c>
      <c r="G68" s="2">
        <f>Claims[[#This Row],[Purchase Date]]+1+MOD(Claims[[#This Row],[Sequence]]*3,14)</f>
        <v>46191</v>
      </c>
      <c r="H68" t="s">
        <v>35</v>
      </c>
      <c r="I68" t="s">
        <v>35</v>
      </c>
      <c r="J68" t="s">
        <v>35</v>
      </c>
      <c r="K68" t="str">
        <f>IF(AND(Claims[[#This Row],[Invoice Attached]]="Yes",Claims[[#This Row],[Serial Number Valid]]="Yes",Claims[[#This Row],[Promotion Eligible]]="Yes"),"Approved","Rejected")</f>
        <v>Approved</v>
      </c>
      <c r="L68">
        <f>IF(Claims[[#This Row],[Validation Status]]="Approved",_xlfn.XLOOKUP(Claims[[#This Row],[Product]],Products[Product],Products[Cashback],0),0)</f>
        <v>80</v>
      </c>
      <c r="M68">
        <v>1050</v>
      </c>
      <c r="N68" t="str">
        <f>IF(Claims[[#This Row],[Validation Status]]="Rejected","Cancelled",IF(MOD(Claims[[#This Row],[Sequence]],5)=0,"Pending","Paid"))</f>
        <v>Paid</v>
      </c>
      <c r="O68" s="2">
        <f>IF(Claims[[#This Row],[Payment Status]]="Paid",Claims[[#This Row],[Claim date]]+2+MOD(Claims[[#This Row],[Sequence]],6),"")</f>
        <v>46194</v>
      </c>
      <c r="P68">
        <f>IF(OR(Claims[[#This Row],[Payment Status]]&lt;&gt;"Paid",Claims[[#This Row],[Payment Date]]="",Claims[[#This Row],[Claim date]]=""),"",Claims[[#This Row],[Payment Date]]-Claims[[#This Row],[Claim date]])</f>
        <v>3</v>
      </c>
    </row>
    <row r="69" spans="1:16" x14ac:dyDescent="0.25">
      <c r="A69" t="str">
        <f>"CLM-"&amp;TEXT(Claims[[#This Row],[Sequence]],"0000")</f>
        <v>CLM-0068</v>
      </c>
      <c r="B69" cm="1">
        <f t="array" ref="B69">ROW()-ROW(Claims[#Headers])</f>
        <v>68</v>
      </c>
      <c r="C69" t="s">
        <v>7</v>
      </c>
      <c r="D69" t="s">
        <v>59</v>
      </c>
      <c r="E69" t="s">
        <v>18</v>
      </c>
      <c r="F69" s="2">
        <f>DATE(2026,5,1)+MOD(Claims[[#This Row],[Sequence]]*7,61)</f>
        <v>46192</v>
      </c>
      <c r="G69" s="2">
        <f>Claims[[#This Row],[Purchase Date]]+1+MOD(Claims[[#This Row],[Sequence]]*3,14)</f>
        <v>46201</v>
      </c>
      <c r="H69" t="s">
        <v>35</v>
      </c>
      <c r="I69" t="s">
        <v>35</v>
      </c>
      <c r="J69" t="s">
        <v>35</v>
      </c>
      <c r="K69" t="str">
        <f>IF(AND(Claims[[#This Row],[Invoice Attached]]="Yes",Claims[[#This Row],[Serial Number Valid]]="Yes",Claims[[#This Row],[Promotion Eligible]]="Yes"),"Approved","Rejected")</f>
        <v>Approved</v>
      </c>
      <c r="L69">
        <f>IF(Claims[[#This Row],[Validation Status]]="Approved",_xlfn.XLOOKUP(Claims[[#This Row],[Product]],Products[Product],Products[Cashback],0),0)</f>
        <v>60</v>
      </c>
      <c r="M69">
        <v>220</v>
      </c>
      <c r="N69" t="str">
        <f>IF(Claims[[#This Row],[Validation Status]]="Rejected","Cancelled",IF(MOD(Claims[[#This Row],[Sequence]],5)=0,"Pending","Paid"))</f>
        <v>Paid</v>
      </c>
      <c r="O69" s="2">
        <f>IF(Claims[[#This Row],[Payment Status]]="Paid",Claims[[#This Row],[Claim date]]+2+MOD(Claims[[#This Row],[Sequence]],6),"")</f>
        <v>46205</v>
      </c>
      <c r="P69">
        <f>IF(OR(Claims[[#This Row],[Payment Status]]&lt;&gt;"Paid",Claims[[#This Row],[Payment Date]]="",Claims[[#This Row],[Claim date]]=""),"",Claims[[#This Row],[Payment Date]]-Claims[[#This Row],[Claim date]])</f>
        <v>4</v>
      </c>
    </row>
    <row r="70" spans="1:16" x14ac:dyDescent="0.25">
      <c r="A70" t="str">
        <f>"CLM-"&amp;TEXT(Claims[[#This Row],[Sequence]],"0000")</f>
        <v>CLM-0069</v>
      </c>
      <c r="B70" cm="1">
        <f t="array" ref="B70">ROW()-ROW(Claims[#Headers])</f>
        <v>69</v>
      </c>
      <c r="C70" t="s">
        <v>9</v>
      </c>
      <c r="D70" t="s">
        <v>60</v>
      </c>
      <c r="E70" t="s">
        <v>19</v>
      </c>
      <c r="F70" s="2">
        <f>DATE(2026,5,1)+MOD(Claims[[#This Row],[Sequence]]*7,61)</f>
        <v>46199</v>
      </c>
      <c r="G70" s="2">
        <f>Claims[[#This Row],[Purchase Date]]+1+MOD(Claims[[#This Row],[Sequence]]*3,14)</f>
        <v>46211</v>
      </c>
      <c r="H70" t="s">
        <v>36</v>
      </c>
      <c r="I70" t="s">
        <v>35</v>
      </c>
      <c r="J70" t="s">
        <v>36</v>
      </c>
      <c r="K70" t="str">
        <f>IF(AND(Claims[[#This Row],[Invoice Attached]]="Yes",Claims[[#This Row],[Serial Number Valid]]="Yes",Claims[[#This Row],[Promotion Eligible]]="Yes"),"Approved","Rejected")</f>
        <v>Rejected</v>
      </c>
      <c r="L70">
        <f>IF(Claims[[#This Row],[Validation Status]]="Approved",_xlfn.XLOOKUP(Claims[[#This Row],[Product]],Products[Product],Products[Cashback],0),0)</f>
        <v>0</v>
      </c>
      <c r="M70">
        <v>1000</v>
      </c>
      <c r="N70" t="str">
        <f>IF(Claims[[#This Row],[Validation Status]]="Rejected","Cancelled",IF(MOD(Claims[[#This Row],[Sequence]],5)=0,"Pending","Paid"))</f>
        <v>Cancelled</v>
      </c>
      <c r="O70" s="2" t="str">
        <f>IF(Claims[[#This Row],[Payment Status]]="Paid",Claims[[#This Row],[Claim date]]+2+MOD(Claims[[#This Row],[Sequence]],6),"")</f>
        <v/>
      </c>
      <c r="P70" t="str">
        <f>IF(OR(Claims[[#This Row],[Payment Status]]&lt;&gt;"Paid",Claims[[#This Row],[Payment Date]]="",Claims[[#This Row],[Claim date]]=""),"",Claims[[#This Row],[Payment Date]]-Claims[[#This Row],[Claim date]])</f>
        <v/>
      </c>
    </row>
    <row r="71" spans="1:16" x14ac:dyDescent="0.25">
      <c r="A71" t="str">
        <f>"CLM-"&amp;TEXT(Claims[[#This Row],[Sequence]],"0000")</f>
        <v>CLM-0070</v>
      </c>
      <c r="B71" cm="1">
        <f t="array" ref="B71">ROW()-ROW(Claims[#Headers])</f>
        <v>70</v>
      </c>
      <c r="C71" t="s">
        <v>6</v>
      </c>
      <c r="D71" t="s">
        <v>61</v>
      </c>
      <c r="E71" t="s">
        <v>20</v>
      </c>
      <c r="F71" s="2">
        <f>DATE(2026,5,1)+MOD(Claims[[#This Row],[Sequence]]*7,61)</f>
        <v>46145</v>
      </c>
      <c r="G71" s="2">
        <f>Claims[[#This Row],[Purchase Date]]+1+MOD(Claims[[#This Row],[Sequence]]*3,14)</f>
        <v>46146</v>
      </c>
      <c r="H71" t="s">
        <v>36</v>
      </c>
      <c r="I71" t="s">
        <v>36</v>
      </c>
      <c r="J71" t="s">
        <v>36</v>
      </c>
      <c r="K71" t="str">
        <f>IF(AND(Claims[[#This Row],[Invoice Attached]]="Yes",Claims[[#This Row],[Serial Number Valid]]="Yes",Claims[[#This Row],[Promotion Eligible]]="Yes"),"Approved","Rejected")</f>
        <v>Rejected</v>
      </c>
      <c r="L71">
        <f>IF(Claims[[#This Row],[Validation Status]]="Approved",_xlfn.XLOOKUP(Claims[[#This Row],[Product]],Products[Product],Products[Cashback],0),0)</f>
        <v>0</v>
      </c>
      <c r="M71">
        <v>600</v>
      </c>
      <c r="N71" t="str">
        <f>IF(Claims[[#This Row],[Validation Status]]="Rejected","Cancelled",IF(MOD(Claims[[#This Row],[Sequence]],5)=0,"Pending","Paid"))</f>
        <v>Cancelled</v>
      </c>
      <c r="O71" s="2" t="str">
        <f>IF(Claims[[#This Row],[Payment Status]]="Paid",Claims[[#This Row],[Claim date]]+2+MOD(Claims[[#This Row],[Sequence]],6),"")</f>
        <v/>
      </c>
      <c r="P71" t="str">
        <f>IF(OR(Claims[[#This Row],[Payment Status]]&lt;&gt;"Paid",Claims[[#This Row],[Payment Date]]="",Claims[[#This Row],[Claim date]]=""),"",Claims[[#This Row],[Payment Date]]-Claims[[#This Row],[Claim date]])</f>
        <v/>
      </c>
    </row>
    <row r="72" spans="1:16" x14ac:dyDescent="0.25">
      <c r="A72" t="str">
        <f>"CLM-"&amp;TEXT(Claims[[#This Row],[Sequence]],"0000")</f>
        <v>CLM-0071</v>
      </c>
      <c r="B72" cm="1">
        <f t="array" ref="B72">ROW()-ROW(Claims[#Headers])</f>
        <v>71</v>
      </c>
      <c r="C72" t="s">
        <v>6</v>
      </c>
      <c r="D72" t="s">
        <v>57</v>
      </c>
      <c r="E72" t="s">
        <v>8</v>
      </c>
      <c r="F72" s="2">
        <f>DATE(2026,5,1)+MOD(Claims[[#This Row],[Sequence]]*7,61)</f>
        <v>46152</v>
      </c>
      <c r="G72" s="2">
        <f>Claims[[#This Row],[Purchase Date]]+1+MOD(Claims[[#This Row],[Sequence]]*3,14)</f>
        <v>46156</v>
      </c>
      <c r="H72" t="s">
        <v>35</v>
      </c>
      <c r="I72" t="s">
        <v>35</v>
      </c>
      <c r="J72" t="s">
        <v>35</v>
      </c>
      <c r="K72" t="str">
        <f>IF(AND(Claims[[#This Row],[Invoice Attached]]="Yes",Claims[[#This Row],[Serial Number Valid]]="Yes",Claims[[#This Row],[Promotion Eligible]]="Yes"),"Approved","Rejected")</f>
        <v>Approved</v>
      </c>
      <c r="L72">
        <f>IF(Claims[[#This Row],[Validation Status]]="Approved",_xlfn.XLOOKUP(Claims[[#This Row],[Product]],Products[Product],Products[Cashback],0),0)</f>
        <v>120</v>
      </c>
      <c r="M72">
        <v>1000</v>
      </c>
      <c r="N72" t="str">
        <f>IF(Claims[[#This Row],[Validation Status]]="Rejected","Cancelled",IF(MOD(Claims[[#This Row],[Sequence]],5)=0,"Pending","Paid"))</f>
        <v>Paid</v>
      </c>
      <c r="O72" s="2">
        <f>IF(Claims[[#This Row],[Payment Status]]="Paid",Claims[[#This Row],[Claim date]]+2+MOD(Claims[[#This Row],[Sequence]],6),"")</f>
        <v>46163</v>
      </c>
      <c r="P72">
        <f>IF(OR(Claims[[#This Row],[Payment Status]]&lt;&gt;"Paid",Claims[[#This Row],[Payment Date]]="",Claims[[#This Row],[Claim date]]=""),"",Claims[[#This Row],[Payment Date]]-Claims[[#This Row],[Claim date]])</f>
        <v>7</v>
      </c>
    </row>
    <row r="73" spans="1:16" x14ac:dyDescent="0.25">
      <c r="A73" t="str">
        <f>"CLM-"&amp;TEXT(Claims[[#This Row],[Sequence]],"0000")</f>
        <v>CLM-0072</v>
      </c>
      <c r="B73" cm="1">
        <f t="array" ref="B73">ROW()-ROW(Claims[#Headers])</f>
        <v>72</v>
      </c>
      <c r="C73" t="s">
        <v>7</v>
      </c>
      <c r="D73" t="s">
        <v>58</v>
      </c>
      <c r="E73" t="s">
        <v>21</v>
      </c>
      <c r="F73" s="2">
        <f>DATE(2026,5,1)+MOD(Claims[[#This Row],[Sequence]]*7,61)</f>
        <v>46159</v>
      </c>
      <c r="G73" s="2">
        <f>Claims[[#This Row],[Purchase Date]]+1+MOD(Claims[[#This Row],[Sequence]]*3,14)</f>
        <v>46166</v>
      </c>
      <c r="H73" t="s">
        <v>36</v>
      </c>
      <c r="I73" t="s">
        <v>35</v>
      </c>
      <c r="J73" t="s">
        <v>36</v>
      </c>
      <c r="K73" t="str">
        <f>IF(AND(Claims[[#This Row],[Invoice Attached]]="Yes",Claims[[#This Row],[Serial Number Valid]]="Yes",Claims[[#This Row],[Promotion Eligible]]="Yes"),"Approved","Rejected")</f>
        <v>Rejected</v>
      </c>
      <c r="L73">
        <f>IF(Claims[[#This Row],[Validation Status]]="Approved",_xlfn.XLOOKUP(Claims[[#This Row],[Product]],Products[Product],Products[Cashback],0),0)</f>
        <v>0</v>
      </c>
      <c r="M73">
        <v>600</v>
      </c>
      <c r="N73" t="str">
        <f>IF(Claims[[#This Row],[Validation Status]]="Rejected","Cancelled",IF(MOD(Claims[[#This Row],[Sequence]],5)=0,"Pending","Paid"))</f>
        <v>Cancelled</v>
      </c>
      <c r="O73" s="2" t="str">
        <f>IF(Claims[[#This Row],[Payment Status]]="Paid",Claims[[#This Row],[Claim date]]+2+MOD(Claims[[#This Row],[Sequence]],6),"")</f>
        <v/>
      </c>
      <c r="P73" t="str">
        <f>IF(OR(Claims[[#This Row],[Payment Status]]&lt;&gt;"Paid",Claims[[#This Row],[Payment Date]]="",Claims[[#This Row],[Claim date]]=""),"",Claims[[#This Row],[Payment Date]]-Claims[[#This Row],[Claim date]])</f>
        <v/>
      </c>
    </row>
    <row r="74" spans="1:16" x14ac:dyDescent="0.25">
      <c r="A74" t="str">
        <f>"CLM-"&amp;TEXT(Claims[[#This Row],[Sequence]],"0000")</f>
        <v>CLM-0073</v>
      </c>
      <c r="B74" cm="1">
        <f t="array" ref="B74">ROW()-ROW(Claims[#Headers])</f>
        <v>73</v>
      </c>
      <c r="C74" t="s">
        <v>9</v>
      </c>
      <c r="D74" t="s">
        <v>59</v>
      </c>
      <c r="E74" t="s">
        <v>15</v>
      </c>
      <c r="F74" s="2">
        <f>DATE(2026,5,1)+MOD(Claims[[#This Row],[Sequence]]*7,61)</f>
        <v>46166</v>
      </c>
      <c r="G74" s="2">
        <f>Claims[[#This Row],[Purchase Date]]+1+MOD(Claims[[#This Row],[Sequence]]*3,14)</f>
        <v>46176</v>
      </c>
      <c r="H74" t="s">
        <v>35</v>
      </c>
      <c r="I74" t="s">
        <v>36</v>
      </c>
      <c r="J74" t="s">
        <v>35</v>
      </c>
      <c r="K74" t="str">
        <f>IF(AND(Claims[[#This Row],[Invoice Attached]]="Yes",Claims[[#This Row],[Serial Number Valid]]="Yes",Claims[[#This Row],[Promotion Eligible]]="Yes"),"Approved","Rejected")</f>
        <v>Rejected</v>
      </c>
      <c r="L74">
        <f>IF(Claims[[#This Row],[Validation Status]]="Approved",_xlfn.XLOOKUP(Claims[[#This Row],[Product]],Products[Product],Products[Cashback],0),0)</f>
        <v>0</v>
      </c>
      <c r="M74">
        <v>1100</v>
      </c>
      <c r="N74" t="str">
        <f>IF(Claims[[#This Row],[Validation Status]]="Rejected","Cancelled",IF(MOD(Claims[[#This Row],[Sequence]],5)=0,"Pending","Paid"))</f>
        <v>Cancelled</v>
      </c>
      <c r="O74" s="2" t="str">
        <f>IF(Claims[[#This Row],[Payment Status]]="Paid",Claims[[#This Row],[Claim date]]+2+MOD(Claims[[#This Row],[Sequence]],6),"")</f>
        <v/>
      </c>
      <c r="P74" t="str">
        <f>IF(OR(Claims[[#This Row],[Payment Status]]&lt;&gt;"Paid",Claims[[#This Row],[Payment Date]]="",Claims[[#This Row],[Claim date]]=""),"",Claims[[#This Row],[Payment Date]]-Claims[[#This Row],[Claim date]])</f>
        <v/>
      </c>
    </row>
    <row r="75" spans="1:16" x14ac:dyDescent="0.25">
      <c r="A75" t="str">
        <f>"CLM-"&amp;TEXT(Claims[[#This Row],[Sequence]],"0000")</f>
        <v>CLM-0074</v>
      </c>
      <c r="B75" cm="1">
        <f t="array" ref="B75">ROW()-ROW(Claims[#Headers])</f>
        <v>74</v>
      </c>
      <c r="C75" t="s">
        <v>6</v>
      </c>
      <c r="D75" t="s">
        <v>60</v>
      </c>
      <c r="E75" t="s">
        <v>16</v>
      </c>
      <c r="F75" s="2">
        <f>DATE(2026,5,1)+MOD(Claims[[#This Row],[Sequence]]*7,61)</f>
        <v>46173</v>
      </c>
      <c r="G75" s="2">
        <f>Claims[[#This Row],[Purchase Date]]+1+MOD(Claims[[#This Row],[Sequence]]*3,14)</f>
        <v>46186</v>
      </c>
      <c r="H75" t="s">
        <v>35</v>
      </c>
      <c r="I75" t="s">
        <v>35</v>
      </c>
      <c r="J75" t="s">
        <v>35</v>
      </c>
      <c r="K75" t="str">
        <f>IF(AND(Claims[[#This Row],[Invoice Attached]]="Yes",Claims[[#This Row],[Serial Number Valid]]="Yes",Claims[[#This Row],[Promotion Eligible]]="Yes"),"Approved","Rejected")</f>
        <v>Approved</v>
      </c>
      <c r="L75">
        <f>IF(Claims[[#This Row],[Validation Status]]="Approved",_xlfn.XLOOKUP(Claims[[#This Row],[Product]],Products[Product],Products[Cashback],0),0)</f>
        <v>200</v>
      </c>
      <c r="M75">
        <v>1000</v>
      </c>
      <c r="N75" t="str">
        <f>IF(Claims[[#This Row],[Validation Status]]="Rejected","Cancelled",IF(MOD(Claims[[#This Row],[Sequence]],5)=0,"Pending","Paid"))</f>
        <v>Paid</v>
      </c>
      <c r="O75" s="2">
        <f>IF(Claims[[#This Row],[Payment Status]]="Paid",Claims[[#This Row],[Claim date]]+2+MOD(Claims[[#This Row],[Sequence]],6),"")</f>
        <v>46190</v>
      </c>
      <c r="P75">
        <f>IF(OR(Claims[[#This Row],[Payment Status]]&lt;&gt;"Paid",Claims[[#This Row],[Payment Date]]="",Claims[[#This Row],[Claim date]]=""),"",Claims[[#This Row],[Payment Date]]-Claims[[#This Row],[Claim date]])</f>
        <v>4</v>
      </c>
    </row>
    <row r="76" spans="1:16" x14ac:dyDescent="0.25">
      <c r="A76" t="str">
        <f>"CLM-"&amp;TEXT(Claims[[#This Row],[Sequence]],"0000")</f>
        <v>CLM-0075</v>
      </c>
      <c r="B76" cm="1">
        <f t="array" ref="B76">ROW()-ROW(Claims[#Headers])</f>
        <v>75</v>
      </c>
      <c r="C76" t="s">
        <v>7</v>
      </c>
      <c r="D76" t="s">
        <v>61</v>
      </c>
      <c r="E76" t="s">
        <v>17</v>
      </c>
      <c r="F76" s="2">
        <f>DATE(2026,5,1)+MOD(Claims[[#This Row],[Sequence]]*7,61)</f>
        <v>46180</v>
      </c>
      <c r="G76" s="2">
        <f>Claims[[#This Row],[Purchase Date]]+1+MOD(Claims[[#This Row],[Sequence]]*3,14)</f>
        <v>46182</v>
      </c>
      <c r="H76" t="s">
        <v>36</v>
      </c>
      <c r="I76" t="s">
        <v>35</v>
      </c>
      <c r="J76" t="s">
        <v>35</v>
      </c>
      <c r="K76" t="str">
        <f>IF(AND(Claims[[#This Row],[Invoice Attached]]="Yes",Claims[[#This Row],[Serial Number Valid]]="Yes",Claims[[#This Row],[Promotion Eligible]]="Yes"),"Approved","Rejected")</f>
        <v>Rejected</v>
      </c>
      <c r="L76">
        <f>IF(Claims[[#This Row],[Validation Status]]="Approved",_xlfn.XLOOKUP(Claims[[#This Row],[Product]],Products[Product],Products[Cashback],0),0)</f>
        <v>0</v>
      </c>
      <c r="M76">
        <v>200</v>
      </c>
      <c r="N76" t="str">
        <f>IF(Claims[[#This Row],[Validation Status]]="Rejected","Cancelled",IF(MOD(Claims[[#This Row],[Sequence]],5)=0,"Pending","Paid"))</f>
        <v>Cancelled</v>
      </c>
      <c r="O76" s="2" t="str">
        <f>IF(Claims[[#This Row],[Payment Status]]="Paid",Claims[[#This Row],[Claim date]]+2+MOD(Claims[[#This Row],[Sequence]],6),"")</f>
        <v/>
      </c>
      <c r="P76" t="str">
        <f>IF(OR(Claims[[#This Row],[Payment Status]]&lt;&gt;"Paid",Claims[[#This Row],[Payment Date]]="",Claims[[#This Row],[Claim date]]=""),"",Claims[[#This Row],[Payment Date]]-Claims[[#This Row],[Claim date]])</f>
        <v/>
      </c>
    </row>
    <row r="77" spans="1:16" x14ac:dyDescent="0.25">
      <c r="A77" t="str">
        <f>"CLM-"&amp;TEXT(Claims[[#This Row],[Sequence]],"0000")</f>
        <v>CLM-0076</v>
      </c>
      <c r="B77" cm="1">
        <f t="array" ref="B77">ROW()-ROW(Claims[#Headers])</f>
        <v>76</v>
      </c>
      <c r="C77" t="s">
        <v>9</v>
      </c>
      <c r="D77" t="s">
        <v>57</v>
      </c>
      <c r="E77" t="s">
        <v>18</v>
      </c>
      <c r="F77" s="2">
        <f>DATE(2026,5,1)+MOD(Claims[[#This Row],[Sequence]]*7,61)</f>
        <v>46187</v>
      </c>
      <c r="G77" s="2">
        <f>Claims[[#This Row],[Purchase Date]]+1+MOD(Claims[[#This Row],[Sequence]]*3,14)</f>
        <v>46192</v>
      </c>
      <c r="H77" t="s">
        <v>35</v>
      </c>
      <c r="I77" t="s">
        <v>36</v>
      </c>
      <c r="J77" t="s">
        <v>36</v>
      </c>
      <c r="K77" t="str">
        <f>IF(AND(Claims[[#This Row],[Invoice Attached]]="Yes",Claims[[#This Row],[Serial Number Valid]]="Yes",Claims[[#This Row],[Promotion Eligible]]="Yes"),"Approved","Rejected")</f>
        <v>Rejected</v>
      </c>
      <c r="L77">
        <f>IF(Claims[[#This Row],[Validation Status]]="Approved",_xlfn.XLOOKUP(Claims[[#This Row],[Product]],Products[Product],Products[Cashback],0),0)</f>
        <v>0</v>
      </c>
      <c r="M77">
        <v>650</v>
      </c>
      <c r="N77" t="str">
        <f>IF(Claims[[#This Row],[Validation Status]]="Rejected","Cancelled",IF(MOD(Claims[[#This Row],[Sequence]],5)=0,"Pending","Paid"))</f>
        <v>Cancelled</v>
      </c>
      <c r="O77" s="2" t="str">
        <f>IF(Claims[[#This Row],[Payment Status]]="Paid",Claims[[#This Row],[Claim date]]+2+MOD(Claims[[#This Row],[Sequence]],6),"")</f>
        <v/>
      </c>
      <c r="P77" t="str">
        <f>IF(OR(Claims[[#This Row],[Payment Status]]&lt;&gt;"Paid",Claims[[#This Row],[Payment Date]]="",Claims[[#This Row],[Claim date]]=""),"",Claims[[#This Row],[Payment Date]]-Claims[[#This Row],[Claim date]])</f>
        <v/>
      </c>
    </row>
    <row r="78" spans="1:16" x14ac:dyDescent="0.25">
      <c r="A78" t="str">
        <f>"CLM-"&amp;TEXT(Claims[[#This Row],[Sequence]],"0000")</f>
        <v>CLM-0077</v>
      </c>
      <c r="B78" cm="1">
        <f t="array" ref="B78">ROW()-ROW(Claims[#Headers])</f>
        <v>77</v>
      </c>
      <c r="C78" t="s">
        <v>6</v>
      </c>
      <c r="D78" t="s">
        <v>58</v>
      </c>
      <c r="E78" t="s">
        <v>19</v>
      </c>
      <c r="F78" s="2">
        <f>DATE(2026,5,1)+MOD(Claims[[#This Row],[Sequence]]*7,61)</f>
        <v>46194</v>
      </c>
      <c r="G78" s="2">
        <f>Claims[[#This Row],[Purchase Date]]+1+MOD(Claims[[#This Row],[Sequence]]*3,14)</f>
        <v>46202</v>
      </c>
      <c r="H78" t="s">
        <v>35</v>
      </c>
      <c r="I78" t="s">
        <v>35</v>
      </c>
      <c r="J78" t="s">
        <v>35</v>
      </c>
      <c r="K78" t="str">
        <f>IF(AND(Claims[[#This Row],[Invoice Attached]]="Yes",Claims[[#This Row],[Serial Number Valid]]="Yes",Claims[[#This Row],[Promotion Eligible]]="Yes"),"Approved","Rejected")</f>
        <v>Approved</v>
      </c>
      <c r="L78">
        <f>IF(Claims[[#This Row],[Validation Status]]="Approved",_xlfn.XLOOKUP(Claims[[#This Row],[Product]],Products[Product],Products[Cashback],0),0)</f>
        <v>50</v>
      </c>
      <c r="M78">
        <v>1050</v>
      </c>
      <c r="N78" t="str">
        <f>IF(Claims[[#This Row],[Validation Status]]="Rejected","Cancelled",IF(MOD(Claims[[#This Row],[Sequence]],5)=0,"Pending","Paid"))</f>
        <v>Paid</v>
      </c>
      <c r="O78" s="2">
        <f>IF(Claims[[#This Row],[Payment Status]]="Paid",Claims[[#This Row],[Claim date]]+2+MOD(Claims[[#This Row],[Sequence]],6),"")</f>
        <v>46209</v>
      </c>
      <c r="P78">
        <f>IF(OR(Claims[[#This Row],[Payment Status]]&lt;&gt;"Paid",Claims[[#This Row],[Payment Date]]="",Claims[[#This Row],[Claim date]]=""),"",Claims[[#This Row],[Payment Date]]-Claims[[#This Row],[Claim date]])</f>
        <v>7</v>
      </c>
    </row>
    <row r="79" spans="1:16" x14ac:dyDescent="0.25">
      <c r="A79" t="str">
        <f>"CLM-"&amp;TEXT(Claims[[#This Row],[Sequence]],"0000")</f>
        <v>CLM-0078</v>
      </c>
      <c r="B79" cm="1">
        <f t="array" ref="B79">ROW()-ROW(Claims[#Headers])</f>
        <v>78</v>
      </c>
      <c r="C79" t="s">
        <v>7</v>
      </c>
      <c r="D79" t="s">
        <v>59</v>
      </c>
      <c r="E79" t="s">
        <v>20</v>
      </c>
      <c r="F79" s="2">
        <f>DATE(2026,5,1)+MOD(Claims[[#This Row],[Sequence]]*7,61)</f>
        <v>46201</v>
      </c>
      <c r="G79" s="2">
        <f>Claims[[#This Row],[Purchase Date]]+1+MOD(Claims[[#This Row],[Sequence]]*3,14)</f>
        <v>46212</v>
      </c>
      <c r="H79" t="s">
        <v>35</v>
      </c>
      <c r="I79" t="s">
        <v>35</v>
      </c>
      <c r="J79" t="s">
        <v>35</v>
      </c>
      <c r="K79" t="str">
        <f>IF(AND(Claims[[#This Row],[Invoice Attached]]="Yes",Claims[[#This Row],[Serial Number Valid]]="Yes",Claims[[#This Row],[Promotion Eligible]]="Yes"),"Approved","Rejected")</f>
        <v>Approved</v>
      </c>
      <c r="L79">
        <f>IF(Claims[[#This Row],[Validation Status]]="Approved",_xlfn.XLOOKUP(Claims[[#This Row],[Product]],Products[Product],Products[Cashback],0),0)</f>
        <v>70</v>
      </c>
      <c r="M79">
        <v>220</v>
      </c>
      <c r="N79" t="str">
        <f>IF(Claims[[#This Row],[Validation Status]]="Rejected","Cancelled",IF(MOD(Claims[[#This Row],[Sequence]],5)=0,"Pending","Paid"))</f>
        <v>Paid</v>
      </c>
      <c r="O79" s="2">
        <f>IF(Claims[[#This Row],[Payment Status]]="Paid",Claims[[#This Row],[Claim date]]+2+MOD(Claims[[#This Row],[Sequence]],6),"")</f>
        <v>46214</v>
      </c>
      <c r="P79">
        <f>IF(OR(Claims[[#This Row],[Payment Status]]&lt;&gt;"Paid",Claims[[#This Row],[Payment Date]]="",Claims[[#This Row],[Claim date]]=""),"",Claims[[#This Row],[Payment Date]]-Claims[[#This Row],[Claim date]])</f>
        <v>2</v>
      </c>
    </row>
    <row r="80" spans="1:16" x14ac:dyDescent="0.25">
      <c r="A80" t="str">
        <f>"CLM-"&amp;TEXT(Claims[[#This Row],[Sequence]],"0000")</f>
        <v>CLM-0079</v>
      </c>
      <c r="B80" cm="1">
        <f t="array" ref="B80">ROW()-ROW(Claims[#Headers])</f>
        <v>79</v>
      </c>
      <c r="C80" t="s">
        <v>9</v>
      </c>
      <c r="D80" t="s">
        <v>60</v>
      </c>
      <c r="E80" t="s">
        <v>8</v>
      </c>
      <c r="F80" s="2">
        <f>DATE(2026,5,1)+MOD(Claims[[#This Row],[Sequence]]*7,61)</f>
        <v>46147</v>
      </c>
      <c r="G80" s="2">
        <f>Claims[[#This Row],[Purchase Date]]+1+MOD(Claims[[#This Row],[Sequence]]*3,14)</f>
        <v>46161</v>
      </c>
      <c r="H80" t="s">
        <v>36</v>
      </c>
      <c r="I80" t="s">
        <v>35</v>
      </c>
      <c r="J80" t="s">
        <v>36</v>
      </c>
      <c r="K80" t="str">
        <f>IF(AND(Claims[[#This Row],[Invoice Attached]]="Yes",Claims[[#This Row],[Serial Number Valid]]="Yes",Claims[[#This Row],[Promotion Eligible]]="Yes"),"Approved","Rejected")</f>
        <v>Rejected</v>
      </c>
      <c r="L80">
        <f>IF(Claims[[#This Row],[Validation Status]]="Approved",_xlfn.XLOOKUP(Claims[[#This Row],[Product]],Products[Product],Products[Cashback],0),0)</f>
        <v>0</v>
      </c>
      <c r="M80">
        <v>1000</v>
      </c>
      <c r="N80" t="str">
        <f>IF(Claims[[#This Row],[Validation Status]]="Rejected","Cancelled",IF(MOD(Claims[[#This Row],[Sequence]],5)=0,"Pending","Paid"))</f>
        <v>Cancelled</v>
      </c>
      <c r="O80" s="2" t="str">
        <f>IF(Claims[[#This Row],[Payment Status]]="Paid",Claims[[#This Row],[Claim date]]+2+MOD(Claims[[#This Row],[Sequence]],6),"")</f>
        <v/>
      </c>
      <c r="P80" t="str">
        <f>IF(OR(Claims[[#This Row],[Payment Status]]&lt;&gt;"Paid",Claims[[#This Row],[Payment Date]]="",Claims[[#This Row],[Claim date]]=""),"",Claims[[#This Row],[Payment Date]]-Claims[[#This Row],[Claim date]])</f>
        <v/>
      </c>
    </row>
    <row r="81" spans="1:16" x14ac:dyDescent="0.25">
      <c r="A81" t="str">
        <f>"CLM-"&amp;TEXT(Claims[[#This Row],[Sequence]],"0000")</f>
        <v>CLM-0080</v>
      </c>
      <c r="B81" cm="1">
        <f t="array" ref="B81">ROW()-ROW(Claims[#Headers])</f>
        <v>80</v>
      </c>
      <c r="C81" t="s">
        <v>6</v>
      </c>
      <c r="D81" t="s">
        <v>61</v>
      </c>
      <c r="E81" t="s">
        <v>21</v>
      </c>
      <c r="F81" s="2">
        <f>DATE(2026,5,1)+MOD(Claims[[#This Row],[Sequence]]*7,61)</f>
        <v>46154</v>
      </c>
      <c r="G81" s="2">
        <f>Claims[[#This Row],[Purchase Date]]+1+MOD(Claims[[#This Row],[Sequence]]*3,14)</f>
        <v>46157</v>
      </c>
      <c r="H81" t="s">
        <v>36</v>
      </c>
      <c r="I81" t="s">
        <v>36</v>
      </c>
      <c r="J81" t="s">
        <v>36</v>
      </c>
      <c r="K81" t="str">
        <f>IF(AND(Claims[[#This Row],[Invoice Attached]]="Yes",Claims[[#This Row],[Serial Number Valid]]="Yes",Claims[[#This Row],[Promotion Eligible]]="Yes"),"Approved","Rejected")</f>
        <v>Rejected</v>
      </c>
      <c r="L81">
        <f>IF(Claims[[#This Row],[Validation Status]]="Approved",_xlfn.XLOOKUP(Claims[[#This Row],[Product]],Products[Product],Products[Cashback],0),0)</f>
        <v>0</v>
      </c>
      <c r="M81">
        <v>600</v>
      </c>
      <c r="N81" t="str">
        <f>IF(Claims[[#This Row],[Validation Status]]="Rejected","Cancelled",IF(MOD(Claims[[#This Row],[Sequence]],5)=0,"Pending","Paid"))</f>
        <v>Cancelled</v>
      </c>
      <c r="O81" s="2" t="str">
        <f>IF(Claims[[#This Row],[Payment Status]]="Paid",Claims[[#This Row],[Claim date]]+2+MOD(Claims[[#This Row],[Sequence]],6),"")</f>
        <v/>
      </c>
      <c r="P81" t="str">
        <f>IF(OR(Claims[[#This Row],[Payment Status]]&lt;&gt;"Paid",Claims[[#This Row],[Payment Date]]="",Claims[[#This Row],[Claim date]]=""),"",Claims[[#This Row],[Payment Date]]-Claims[[#This Row],[Claim date]])</f>
        <v/>
      </c>
    </row>
    <row r="82" spans="1:16" x14ac:dyDescent="0.25">
      <c r="A82" t="str">
        <f>"CLM-"&amp;TEXT(Claims[[#This Row],[Sequence]],"0000")</f>
        <v>CLM-0081</v>
      </c>
      <c r="B82" cm="1">
        <f t="array" ref="B82">ROW()-ROW(Claims[#Headers])</f>
        <v>81</v>
      </c>
      <c r="C82" t="s">
        <v>6</v>
      </c>
      <c r="D82" t="s">
        <v>57</v>
      </c>
      <c r="E82" t="s">
        <v>15</v>
      </c>
      <c r="F82" s="2">
        <f>DATE(2026,5,1)+MOD(Claims[[#This Row],[Sequence]]*7,61)</f>
        <v>46161</v>
      </c>
      <c r="G82" s="2">
        <f>Claims[[#This Row],[Purchase Date]]+1+MOD(Claims[[#This Row],[Sequence]]*3,14)</f>
        <v>46167</v>
      </c>
      <c r="H82" t="s">
        <v>35</v>
      </c>
      <c r="I82" t="s">
        <v>35</v>
      </c>
      <c r="J82" t="s">
        <v>35</v>
      </c>
      <c r="K82" t="str">
        <f>IF(AND(Claims[[#This Row],[Invoice Attached]]="Yes",Claims[[#This Row],[Serial Number Valid]]="Yes",Claims[[#This Row],[Promotion Eligible]]="Yes"),"Approved","Rejected")</f>
        <v>Approved</v>
      </c>
      <c r="L82">
        <f>IF(Claims[[#This Row],[Validation Status]]="Approved",_xlfn.XLOOKUP(Claims[[#This Row],[Product]],Products[Product],Products[Cashback],0),0)</f>
        <v>150</v>
      </c>
      <c r="M82">
        <v>1000</v>
      </c>
      <c r="N82" t="str">
        <f>IF(Claims[[#This Row],[Validation Status]]="Rejected","Cancelled",IF(MOD(Claims[[#This Row],[Sequence]],5)=0,"Pending","Paid"))</f>
        <v>Paid</v>
      </c>
      <c r="O82" s="2">
        <f>IF(Claims[[#This Row],[Payment Status]]="Paid",Claims[[#This Row],[Claim date]]+2+MOD(Claims[[#This Row],[Sequence]],6),"")</f>
        <v>46172</v>
      </c>
      <c r="P82">
        <f>IF(OR(Claims[[#This Row],[Payment Status]]&lt;&gt;"Paid",Claims[[#This Row],[Payment Date]]="",Claims[[#This Row],[Claim date]]=""),"",Claims[[#This Row],[Payment Date]]-Claims[[#This Row],[Claim date]])</f>
        <v>5</v>
      </c>
    </row>
    <row r="83" spans="1:16" x14ac:dyDescent="0.25">
      <c r="A83" t="str">
        <f>"CLM-"&amp;TEXT(Claims[[#This Row],[Sequence]],"0000")</f>
        <v>CLM-0082</v>
      </c>
      <c r="B83" cm="1">
        <f t="array" ref="B83">ROW()-ROW(Claims[#Headers])</f>
        <v>82</v>
      </c>
      <c r="C83" t="s">
        <v>7</v>
      </c>
      <c r="D83" t="s">
        <v>58</v>
      </c>
      <c r="E83" t="s">
        <v>16</v>
      </c>
      <c r="F83" s="2">
        <f>DATE(2026,5,1)+MOD(Claims[[#This Row],[Sequence]]*7,61)</f>
        <v>46168</v>
      </c>
      <c r="G83" s="2">
        <f>Claims[[#This Row],[Purchase Date]]+1+MOD(Claims[[#This Row],[Sequence]]*3,14)</f>
        <v>46177</v>
      </c>
      <c r="H83" t="s">
        <v>36</v>
      </c>
      <c r="I83" t="s">
        <v>35</v>
      </c>
      <c r="J83" t="s">
        <v>36</v>
      </c>
      <c r="K83" t="str">
        <f>IF(AND(Claims[[#This Row],[Invoice Attached]]="Yes",Claims[[#This Row],[Serial Number Valid]]="Yes",Claims[[#This Row],[Promotion Eligible]]="Yes"),"Approved","Rejected")</f>
        <v>Rejected</v>
      </c>
      <c r="L83">
        <f>IF(Claims[[#This Row],[Validation Status]]="Approved",_xlfn.XLOOKUP(Claims[[#This Row],[Product]],Products[Product],Products[Cashback],0),0)</f>
        <v>0</v>
      </c>
      <c r="M83">
        <v>600</v>
      </c>
      <c r="N83" t="str">
        <f>IF(Claims[[#This Row],[Validation Status]]="Rejected","Cancelled",IF(MOD(Claims[[#This Row],[Sequence]],5)=0,"Pending","Paid"))</f>
        <v>Cancelled</v>
      </c>
      <c r="O83" s="2" t="str">
        <f>IF(Claims[[#This Row],[Payment Status]]="Paid",Claims[[#This Row],[Claim date]]+2+MOD(Claims[[#This Row],[Sequence]],6),"")</f>
        <v/>
      </c>
      <c r="P83" t="str">
        <f>IF(OR(Claims[[#This Row],[Payment Status]]&lt;&gt;"Paid",Claims[[#This Row],[Payment Date]]="",Claims[[#This Row],[Claim date]]=""),"",Claims[[#This Row],[Payment Date]]-Claims[[#This Row],[Claim date]])</f>
        <v/>
      </c>
    </row>
    <row r="84" spans="1:16" x14ac:dyDescent="0.25">
      <c r="A84" t="str">
        <f>"CLM-"&amp;TEXT(Claims[[#This Row],[Sequence]],"0000")</f>
        <v>CLM-0083</v>
      </c>
      <c r="B84" cm="1">
        <f t="array" ref="B84">ROW()-ROW(Claims[#Headers])</f>
        <v>83</v>
      </c>
      <c r="C84" t="s">
        <v>9</v>
      </c>
      <c r="D84" t="s">
        <v>59</v>
      </c>
      <c r="E84" t="s">
        <v>17</v>
      </c>
      <c r="F84" s="2">
        <f>DATE(2026,5,1)+MOD(Claims[[#This Row],[Sequence]]*7,61)</f>
        <v>46175</v>
      </c>
      <c r="G84" s="2">
        <f>Claims[[#This Row],[Purchase Date]]+1+MOD(Claims[[#This Row],[Sequence]]*3,14)</f>
        <v>46187</v>
      </c>
      <c r="H84" t="s">
        <v>35</v>
      </c>
      <c r="I84" t="s">
        <v>36</v>
      </c>
      <c r="J84" t="s">
        <v>35</v>
      </c>
      <c r="K84" t="str">
        <f>IF(AND(Claims[[#This Row],[Invoice Attached]]="Yes",Claims[[#This Row],[Serial Number Valid]]="Yes",Claims[[#This Row],[Promotion Eligible]]="Yes"),"Approved","Rejected")</f>
        <v>Rejected</v>
      </c>
      <c r="L84">
        <f>IF(Claims[[#This Row],[Validation Status]]="Approved",_xlfn.XLOOKUP(Claims[[#This Row],[Product]],Products[Product],Products[Cashback],0),0)</f>
        <v>0</v>
      </c>
      <c r="M84">
        <v>1100</v>
      </c>
      <c r="N84" t="str">
        <f>IF(Claims[[#This Row],[Validation Status]]="Rejected","Cancelled",IF(MOD(Claims[[#This Row],[Sequence]],5)=0,"Pending","Paid"))</f>
        <v>Cancelled</v>
      </c>
      <c r="O84" s="2" t="str">
        <f>IF(Claims[[#This Row],[Payment Status]]="Paid",Claims[[#This Row],[Claim date]]+2+MOD(Claims[[#This Row],[Sequence]],6),"")</f>
        <v/>
      </c>
      <c r="P84" t="str">
        <f>IF(OR(Claims[[#This Row],[Payment Status]]&lt;&gt;"Paid",Claims[[#This Row],[Payment Date]]="",Claims[[#This Row],[Claim date]]=""),"",Claims[[#This Row],[Payment Date]]-Claims[[#This Row],[Claim date]])</f>
        <v/>
      </c>
    </row>
    <row r="85" spans="1:16" x14ac:dyDescent="0.25">
      <c r="A85" t="str">
        <f>"CLM-"&amp;TEXT(Claims[[#This Row],[Sequence]],"0000")</f>
        <v>CLM-0084</v>
      </c>
      <c r="B85" cm="1">
        <f t="array" ref="B85">ROW()-ROW(Claims[#Headers])</f>
        <v>84</v>
      </c>
      <c r="C85" t="s">
        <v>6</v>
      </c>
      <c r="D85" t="s">
        <v>60</v>
      </c>
      <c r="E85" t="s">
        <v>18</v>
      </c>
      <c r="F85" s="2">
        <f>DATE(2026,5,1)+MOD(Claims[[#This Row],[Sequence]]*7,61)</f>
        <v>46182</v>
      </c>
      <c r="G85" s="2">
        <f>Claims[[#This Row],[Purchase Date]]+1+MOD(Claims[[#This Row],[Sequence]]*3,14)</f>
        <v>46183</v>
      </c>
      <c r="H85" t="s">
        <v>35</v>
      </c>
      <c r="I85" t="s">
        <v>35</v>
      </c>
      <c r="J85" t="s">
        <v>35</v>
      </c>
      <c r="K85" t="str">
        <f>IF(AND(Claims[[#This Row],[Invoice Attached]]="Yes",Claims[[#This Row],[Serial Number Valid]]="Yes",Claims[[#This Row],[Promotion Eligible]]="Yes"),"Approved","Rejected")</f>
        <v>Approved</v>
      </c>
      <c r="L85">
        <f>IF(Claims[[#This Row],[Validation Status]]="Approved",_xlfn.XLOOKUP(Claims[[#This Row],[Product]],Products[Product],Products[Cashback],0),0)</f>
        <v>60</v>
      </c>
      <c r="M85">
        <v>1000</v>
      </c>
      <c r="N85" t="str">
        <f>IF(Claims[[#This Row],[Validation Status]]="Rejected","Cancelled",IF(MOD(Claims[[#This Row],[Sequence]],5)=0,"Pending","Paid"))</f>
        <v>Paid</v>
      </c>
      <c r="O85" s="2">
        <f>IF(Claims[[#This Row],[Payment Status]]="Paid",Claims[[#This Row],[Claim date]]+2+MOD(Claims[[#This Row],[Sequence]],6),"")</f>
        <v>46185</v>
      </c>
      <c r="P85">
        <f>IF(OR(Claims[[#This Row],[Payment Status]]&lt;&gt;"Paid",Claims[[#This Row],[Payment Date]]="",Claims[[#This Row],[Claim date]]=""),"",Claims[[#This Row],[Payment Date]]-Claims[[#This Row],[Claim date]])</f>
        <v>2</v>
      </c>
    </row>
    <row r="86" spans="1:16" x14ac:dyDescent="0.25">
      <c r="A86" t="str">
        <f>"CLM-"&amp;TEXT(Claims[[#This Row],[Sequence]],"0000")</f>
        <v>CLM-0085</v>
      </c>
      <c r="B86" cm="1">
        <f t="array" ref="B86">ROW()-ROW(Claims[#Headers])</f>
        <v>85</v>
      </c>
      <c r="C86" t="s">
        <v>7</v>
      </c>
      <c r="D86" t="s">
        <v>61</v>
      </c>
      <c r="E86" t="s">
        <v>19</v>
      </c>
      <c r="F86" s="2">
        <f>DATE(2026,5,1)+MOD(Claims[[#This Row],[Sequence]]*7,61)</f>
        <v>46189</v>
      </c>
      <c r="G86" s="2">
        <f>Claims[[#This Row],[Purchase Date]]+1+MOD(Claims[[#This Row],[Sequence]]*3,14)</f>
        <v>46193</v>
      </c>
      <c r="H86" t="s">
        <v>36</v>
      </c>
      <c r="I86" t="s">
        <v>35</v>
      </c>
      <c r="J86" t="s">
        <v>35</v>
      </c>
      <c r="K86" t="str">
        <f>IF(AND(Claims[[#This Row],[Invoice Attached]]="Yes",Claims[[#This Row],[Serial Number Valid]]="Yes",Claims[[#This Row],[Promotion Eligible]]="Yes"),"Approved","Rejected")</f>
        <v>Rejected</v>
      </c>
      <c r="L86">
        <f>IF(Claims[[#This Row],[Validation Status]]="Approved",_xlfn.XLOOKUP(Claims[[#This Row],[Product]],Products[Product],Products[Cashback],0),0)</f>
        <v>0</v>
      </c>
      <c r="M86">
        <v>200</v>
      </c>
      <c r="N86" t="str">
        <f>IF(Claims[[#This Row],[Validation Status]]="Rejected","Cancelled",IF(MOD(Claims[[#This Row],[Sequence]],5)=0,"Pending","Paid"))</f>
        <v>Cancelled</v>
      </c>
      <c r="O86" s="2" t="str">
        <f>IF(Claims[[#This Row],[Payment Status]]="Paid",Claims[[#This Row],[Claim date]]+2+MOD(Claims[[#This Row],[Sequence]],6),"")</f>
        <v/>
      </c>
      <c r="P86" t="str">
        <f>IF(OR(Claims[[#This Row],[Payment Status]]&lt;&gt;"Paid",Claims[[#This Row],[Payment Date]]="",Claims[[#This Row],[Claim date]]=""),"",Claims[[#This Row],[Payment Date]]-Claims[[#This Row],[Claim date]])</f>
        <v/>
      </c>
    </row>
    <row r="87" spans="1:16" x14ac:dyDescent="0.25">
      <c r="A87" t="str">
        <f>"CLM-"&amp;TEXT(Claims[[#This Row],[Sequence]],"0000")</f>
        <v>CLM-0086</v>
      </c>
      <c r="B87" cm="1">
        <f t="array" ref="B87">ROW()-ROW(Claims[#Headers])</f>
        <v>86</v>
      </c>
      <c r="C87" t="s">
        <v>9</v>
      </c>
      <c r="D87" t="s">
        <v>57</v>
      </c>
      <c r="E87" t="s">
        <v>20</v>
      </c>
      <c r="F87" s="2">
        <f>DATE(2026,5,1)+MOD(Claims[[#This Row],[Sequence]]*7,61)</f>
        <v>46196</v>
      </c>
      <c r="G87" s="2">
        <f>Claims[[#This Row],[Purchase Date]]+1+MOD(Claims[[#This Row],[Sequence]]*3,14)</f>
        <v>46203</v>
      </c>
      <c r="H87" t="s">
        <v>35</v>
      </c>
      <c r="I87" t="s">
        <v>36</v>
      </c>
      <c r="J87" t="s">
        <v>36</v>
      </c>
      <c r="K87" t="str">
        <f>IF(AND(Claims[[#This Row],[Invoice Attached]]="Yes",Claims[[#This Row],[Serial Number Valid]]="Yes",Claims[[#This Row],[Promotion Eligible]]="Yes"),"Approved","Rejected")</f>
        <v>Rejected</v>
      </c>
      <c r="L87">
        <f>IF(Claims[[#This Row],[Validation Status]]="Approved",_xlfn.XLOOKUP(Claims[[#This Row],[Product]],Products[Product],Products[Cashback],0),0)</f>
        <v>0</v>
      </c>
      <c r="M87">
        <v>650</v>
      </c>
      <c r="N87" t="str">
        <f>IF(Claims[[#This Row],[Validation Status]]="Rejected","Cancelled",IF(MOD(Claims[[#This Row],[Sequence]],5)=0,"Pending","Paid"))</f>
        <v>Cancelled</v>
      </c>
      <c r="O87" s="2" t="str">
        <f>IF(Claims[[#This Row],[Payment Status]]="Paid",Claims[[#This Row],[Claim date]]+2+MOD(Claims[[#This Row],[Sequence]],6),"")</f>
        <v/>
      </c>
      <c r="P87" t="str">
        <f>IF(OR(Claims[[#This Row],[Payment Status]]&lt;&gt;"Paid",Claims[[#This Row],[Payment Date]]="",Claims[[#This Row],[Claim date]]=""),"",Claims[[#This Row],[Payment Date]]-Claims[[#This Row],[Claim date]])</f>
        <v/>
      </c>
    </row>
    <row r="88" spans="1:16" x14ac:dyDescent="0.25">
      <c r="A88" t="str">
        <f>"CLM-"&amp;TEXT(Claims[[#This Row],[Sequence]],"0000")</f>
        <v>CLM-0087</v>
      </c>
      <c r="B88" cm="1">
        <f t="array" ref="B88">ROW()-ROW(Claims[#Headers])</f>
        <v>87</v>
      </c>
      <c r="C88" t="s">
        <v>6</v>
      </c>
      <c r="D88" t="s">
        <v>58</v>
      </c>
      <c r="E88" t="s">
        <v>8</v>
      </c>
      <c r="F88" s="2">
        <f>DATE(2026,5,1)+MOD(Claims[[#This Row],[Sequence]]*7,61)</f>
        <v>46203</v>
      </c>
      <c r="G88" s="2">
        <f>Claims[[#This Row],[Purchase Date]]+1+MOD(Claims[[#This Row],[Sequence]]*3,14)</f>
        <v>46213</v>
      </c>
      <c r="H88" t="s">
        <v>35</v>
      </c>
      <c r="I88" t="s">
        <v>35</v>
      </c>
      <c r="J88" t="s">
        <v>35</v>
      </c>
      <c r="K88" t="str">
        <f>IF(AND(Claims[[#This Row],[Invoice Attached]]="Yes",Claims[[#This Row],[Serial Number Valid]]="Yes",Claims[[#This Row],[Promotion Eligible]]="Yes"),"Approved","Rejected")</f>
        <v>Approved</v>
      </c>
      <c r="L88">
        <f>IF(Claims[[#This Row],[Validation Status]]="Approved",_xlfn.XLOOKUP(Claims[[#This Row],[Product]],Products[Product],Products[Cashback],0),0)</f>
        <v>120</v>
      </c>
      <c r="M88">
        <v>1050</v>
      </c>
      <c r="N88" t="str">
        <f>IF(Claims[[#This Row],[Validation Status]]="Rejected","Cancelled",IF(MOD(Claims[[#This Row],[Sequence]],5)=0,"Pending","Paid"))</f>
        <v>Paid</v>
      </c>
      <c r="O88" s="2">
        <f>IF(Claims[[#This Row],[Payment Status]]="Paid",Claims[[#This Row],[Claim date]]+2+MOD(Claims[[#This Row],[Sequence]],6),"")</f>
        <v>46218</v>
      </c>
      <c r="P88">
        <f>IF(OR(Claims[[#This Row],[Payment Status]]&lt;&gt;"Paid",Claims[[#This Row],[Payment Date]]="",Claims[[#This Row],[Claim date]]=""),"",Claims[[#This Row],[Payment Date]]-Claims[[#This Row],[Claim date]])</f>
        <v>5</v>
      </c>
    </row>
    <row r="89" spans="1:16" x14ac:dyDescent="0.25">
      <c r="A89" t="str">
        <f>"CLM-"&amp;TEXT(Claims[[#This Row],[Sequence]],"0000")</f>
        <v>CLM-0088</v>
      </c>
      <c r="B89" cm="1">
        <f t="array" ref="B89">ROW()-ROW(Claims[#Headers])</f>
        <v>88</v>
      </c>
      <c r="C89" t="s">
        <v>7</v>
      </c>
      <c r="D89" t="s">
        <v>59</v>
      </c>
      <c r="E89" t="s">
        <v>21</v>
      </c>
      <c r="F89" s="2">
        <f>DATE(2026,5,1)+MOD(Claims[[#This Row],[Sequence]]*7,61)</f>
        <v>46149</v>
      </c>
      <c r="G89" s="2">
        <f>Claims[[#This Row],[Purchase Date]]+1+MOD(Claims[[#This Row],[Sequence]]*3,14)</f>
        <v>46162</v>
      </c>
      <c r="H89" t="s">
        <v>35</v>
      </c>
      <c r="I89" t="s">
        <v>35</v>
      </c>
      <c r="J89" t="s">
        <v>35</v>
      </c>
      <c r="K89" t="str">
        <f>IF(AND(Claims[[#This Row],[Invoice Attached]]="Yes",Claims[[#This Row],[Serial Number Valid]]="Yes",Claims[[#This Row],[Promotion Eligible]]="Yes"),"Approved","Rejected")</f>
        <v>Approved</v>
      </c>
      <c r="L89">
        <f>IF(Claims[[#This Row],[Validation Status]]="Approved",_xlfn.XLOOKUP(Claims[[#This Row],[Product]],Products[Product],Products[Cashback],0),0)</f>
        <v>250</v>
      </c>
      <c r="M89">
        <v>220</v>
      </c>
      <c r="N89" t="str">
        <f>IF(Claims[[#This Row],[Validation Status]]="Rejected","Cancelled",IF(MOD(Claims[[#This Row],[Sequence]],5)=0,"Pending","Paid"))</f>
        <v>Paid</v>
      </c>
      <c r="O89" s="2">
        <f>IF(Claims[[#This Row],[Payment Status]]="Paid",Claims[[#This Row],[Claim date]]+2+MOD(Claims[[#This Row],[Sequence]],6),"")</f>
        <v>46168</v>
      </c>
      <c r="P89">
        <f>IF(OR(Claims[[#This Row],[Payment Status]]&lt;&gt;"Paid",Claims[[#This Row],[Payment Date]]="",Claims[[#This Row],[Claim date]]=""),"",Claims[[#This Row],[Payment Date]]-Claims[[#This Row],[Claim date]])</f>
        <v>6</v>
      </c>
    </row>
    <row r="90" spans="1:16" x14ac:dyDescent="0.25">
      <c r="A90" t="str">
        <f>"CLM-"&amp;TEXT(Claims[[#This Row],[Sequence]],"0000")</f>
        <v>CLM-0089</v>
      </c>
      <c r="B90" cm="1">
        <f t="array" ref="B90">ROW()-ROW(Claims[#Headers])</f>
        <v>89</v>
      </c>
      <c r="C90" t="s">
        <v>9</v>
      </c>
      <c r="D90" t="s">
        <v>60</v>
      </c>
      <c r="E90" t="s">
        <v>15</v>
      </c>
      <c r="F90" s="2">
        <f>DATE(2026,5,1)+MOD(Claims[[#This Row],[Sequence]]*7,61)</f>
        <v>46156</v>
      </c>
      <c r="G90" s="2">
        <f>Claims[[#This Row],[Purchase Date]]+1+MOD(Claims[[#This Row],[Sequence]]*3,14)</f>
        <v>46158</v>
      </c>
      <c r="H90" t="s">
        <v>36</v>
      </c>
      <c r="I90" t="s">
        <v>35</v>
      </c>
      <c r="J90" t="s">
        <v>36</v>
      </c>
      <c r="K90" t="str">
        <f>IF(AND(Claims[[#This Row],[Invoice Attached]]="Yes",Claims[[#This Row],[Serial Number Valid]]="Yes",Claims[[#This Row],[Promotion Eligible]]="Yes"),"Approved","Rejected")</f>
        <v>Rejected</v>
      </c>
      <c r="L90">
        <f>IF(Claims[[#This Row],[Validation Status]]="Approved",_xlfn.XLOOKUP(Claims[[#This Row],[Product]],Products[Product],Products[Cashback],0),0)</f>
        <v>0</v>
      </c>
      <c r="M90">
        <v>1000</v>
      </c>
      <c r="N90" t="str">
        <f>IF(Claims[[#This Row],[Validation Status]]="Rejected","Cancelled",IF(MOD(Claims[[#This Row],[Sequence]],5)=0,"Pending","Paid"))</f>
        <v>Cancelled</v>
      </c>
      <c r="O90" s="2" t="str">
        <f>IF(Claims[[#This Row],[Payment Status]]="Paid",Claims[[#This Row],[Claim date]]+2+MOD(Claims[[#This Row],[Sequence]],6),"")</f>
        <v/>
      </c>
      <c r="P90" t="str">
        <f>IF(OR(Claims[[#This Row],[Payment Status]]&lt;&gt;"Paid",Claims[[#This Row],[Payment Date]]="",Claims[[#This Row],[Claim date]]=""),"",Claims[[#This Row],[Payment Date]]-Claims[[#This Row],[Claim date]])</f>
        <v/>
      </c>
    </row>
    <row r="91" spans="1:16" x14ac:dyDescent="0.25">
      <c r="A91" t="str">
        <f>"CLM-"&amp;TEXT(Claims[[#This Row],[Sequence]],"0000")</f>
        <v>CLM-0090</v>
      </c>
      <c r="B91" cm="1">
        <f t="array" ref="B91">ROW()-ROW(Claims[#Headers])</f>
        <v>90</v>
      </c>
      <c r="C91" t="s">
        <v>6</v>
      </c>
      <c r="D91" t="s">
        <v>61</v>
      </c>
      <c r="E91" t="s">
        <v>16</v>
      </c>
      <c r="F91" s="2">
        <f>DATE(2026,5,1)+MOD(Claims[[#This Row],[Sequence]]*7,61)</f>
        <v>46163</v>
      </c>
      <c r="G91" s="2">
        <f>Claims[[#This Row],[Purchase Date]]+1+MOD(Claims[[#This Row],[Sequence]]*3,14)</f>
        <v>46168</v>
      </c>
      <c r="H91" t="s">
        <v>36</v>
      </c>
      <c r="I91" t="s">
        <v>36</v>
      </c>
      <c r="J91" t="s">
        <v>36</v>
      </c>
      <c r="K91" t="str">
        <f>IF(AND(Claims[[#This Row],[Invoice Attached]]="Yes",Claims[[#This Row],[Serial Number Valid]]="Yes",Claims[[#This Row],[Promotion Eligible]]="Yes"),"Approved","Rejected")</f>
        <v>Rejected</v>
      </c>
      <c r="L91">
        <f>IF(Claims[[#This Row],[Validation Status]]="Approved",_xlfn.XLOOKUP(Claims[[#This Row],[Product]],Products[Product],Products[Cashback],0),0)</f>
        <v>0</v>
      </c>
      <c r="M91">
        <v>600</v>
      </c>
      <c r="N91" t="str">
        <f>IF(Claims[[#This Row],[Validation Status]]="Rejected","Cancelled",IF(MOD(Claims[[#This Row],[Sequence]],5)=0,"Pending","Paid"))</f>
        <v>Cancelled</v>
      </c>
      <c r="O91" s="2" t="str">
        <f>IF(Claims[[#This Row],[Payment Status]]="Paid",Claims[[#This Row],[Claim date]]+2+MOD(Claims[[#This Row],[Sequence]],6),"")</f>
        <v/>
      </c>
      <c r="P91" t="str">
        <f>IF(OR(Claims[[#This Row],[Payment Status]]&lt;&gt;"Paid",Claims[[#This Row],[Payment Date]]="",Claims[[#This Row],[Claim date]]=""),"",Claims[[#This Row],[Payment Date]]-Claims[[#This Row],[Claim date]])</f>
        <v/>
      </c>
    </row>
    <row r="92" spans="1:16" x14ac:dyDescent="0.25">
      <c r="A92" t="str">
        <f>"CLM-"&amp;TEXT(Claims[[#This Row],[Sequence]],"0000")</f>
        <v>CLM-0091</v>
      </c>
      <c r="B92" cm="1">
        <f t="array" ref="B92">ROW()-ROW(Claims[#Headers])</f>
        <v>91</v>
      </c>
      <c r="C92" t="s">
        <v>6</v>
      </c>
      <c r="D92" t="s">
        <v>57</v>
      </c>
      <c r="E92" t="s">
        <v>17</v>
      </c>
      <c r="F92" s="2">
        <f>DATE(2026,5,1)+MOD(Claims[[#This Row],[Sequence]]*7,61)</f>
        <v>46170</v>
      </c>
      <c r="G92" s="2">
        <f>Claims[[#This Row],[Purchase Date]]+1+MOD(Claims[[#This Row],[Sequence]]*3,14)</f>
        <v>46178</v>
      </c>
      <c r="H92" t="s">
        <v>35</v>
      </c>
      <c r="I92" t="s">
        <v>35</v>
      </c>
      <c r="J92" t="s">
        <v>35</v>
      </c>
      <c r="K92" t="str">
        <f>IF(AND(Claims[[#This Row],[Invoice Attached]]="Yes",Claims[[#This Row],[Serial Number Valid]]="Yes",Claims[[#This Row],[Promotion Eligible]]="Yes"),"Approved","Rejected")</f>
        <v>Approved</v>
      </c>
      <c r="L92">
        <f>IF(Claims[[#This Row],[Validation Status]]="Approved",_xlfn.XLOOKUP(Claims[[#This Row],[Product]],Products[Product],Products[Cashback],0),0)</f>
        <v>80</v>
      </c>
      <c r="M92">
        <v>1000</v>
      </c>
      <c r="N92" t="str">
        <f>IF(Claims[[#This Row],[Validation Status]]="Rejected","Cancelled",IF(MOD(Claims[[#This Row],[Sequence]],5)=0,"Pending","Paid"))</f>
        <v>Paid</v>
      </c>
      <c r="O92" s="2">
        <f>IF(Claims[[#This Row],[Payment Status]]="Paid",Claims[[#This Row],[Claim date]]+2+MOD(Claims[[#This Row],[Sequence]],6),"")</f>
        <v>46181</v>
      </c>
      <c r="P92">
        <f>IF(OR(Claims[[#This Row],[Payment Status]]&lt;&gt;"Paid",Claims[[#This Row],[Payment Date]]="",Claims[[#This Row],[Claim date]]=""),"",Claims[[#This Row],[Payment Date]]-Claims[[#This Row],[Claim date]])</f>
        <v>3</v>
      </c>
    </row>
    <row r="93" spans="1:16" x14ac:dyDescent="0.25">
      <c r="A93" t="str">
        <f>"CLM-"&amp;TEXT(Claims[[#This Row],[Sequence]],"0000")</f>
        <v>CLM-0092</v>
      </c>
      <c r="B93" cm="1">
        <f t="array" ref="B93">ROW()-ROW(Claims[#Headers])</f>
        <v>92</v>
      </c>
      <c r="C93" t="s">
        <v>7</v>
      </c>
      <c r="D93" t="s">
        <v>58</v>
      </c>
      <c r="E93" t="s">
        <v>18</v>
      </c>
      <c r="F93" s="2">
        <f>DATE(2026,5,1)+MOD(Claims[[#This Row],[Sequence]]*7,61)</f>
        <v>46177</v>
      </c>
      <c r="G93" s="2">
        <f>Claims[[#This Row],[Purchase Date]]+1+MOD(Claims[[#This Row],[Sequence]]*3,14)</f>
        <v>46188</v>
      </c>
      <c r="H93" t="s">
        <v>36</v>
      </c>
      <c r="I93" t="s">
        <v>35</v>
      </c>
      <c r="J93" t="s">
        <v>36</v>
      </c>
      <c r="K93" t="str">
        <f>IF(AND(Claims[[#This Row],[Invoice Attached]]="Yes",Claims[[#This Row],[Serial Number Valid]]="Yes",Claims[[#This Row],[Promotion Eligible]]="Yes"),"Approved","Rejected")</f>
        <v>Rejected</v>
      </c>
      <c r="L93">
        <f>IF(Claims[[#This Row],[Validation Status]]="Approved",_xlfn.XLOOKUP(Claims[[#This Row],[Product]],Products[Product],Products[Cashback],0),0)</f>
        <v>0</v>
      </c>
      <c r="M93">
        <v>600</v>
      </c>
      <c r="N93" t="str">
        <f>IF(Claims[[#This Row],[Validation Status]]="Rejected","Cancelled",IF(MOD(Claims[[#This Row],[Sequence]],5)=0,"Pending","Paid"))</f>
        <v>Cancelled</v>
      </c>
      <c r="O93" s="2" t="str">
        <f>IF(Claims[[#This Row],[Payment Status]]="Paid",Claims[[#This Row],[Claim date]]+2+MOD(Claims[[#This Row],[Sequence]],6),"")</f>
        <v/>
      </c>
      <c r="P93" t="str">
        <f>IF(OR(Claims[[#This Row],[Payment Status]]&lt;&gt;"Paid",Claims[[#This Row],[Payment Date]]="",Claims[[#This Row],[Claim date]]=""),"",Claims[[#This Row],[Payment Date]]-Claims[[#This Row],[Claim date]])</f>
        <v/>
      </c>
    </row>
    <row r="94" spans="1:16" x14ac:dyDescent="0.25">
      <c r="A94" t="str">
        <f>"CLM-"&amp;TEXT(Claims[[#This Row],[Sequence]],"0000")</f>
        <v>CLM-0093</v>
      </c>
      <c r="B94" cm="1">
        <f t="array" ref="B94">ROW()-ROW(Claims[#Headers])</f>
        <v>93</v>
      </c>
      <c r="C94" t="s">
        <v>9</v>
      </c>
      <c r="D94" t="s">
        <v>59</v>
      </c>
      <c r="E94" t="s">
        <v>19</v>
      </c>
      <c r="F94" s="2">
        <f>DATE(2026,5,1)+MOD(Claims[[#This Row],[Sequence]]*7,61)</f>
        <v>46184</v>
      </c>
      <c r="G94" s="2">
        <f>Claims[[#This Row],[Purchase Date]]+1+MOD(Claims[[#This Row],[Sequence]]*3,14)</f>
        <v>46198</v>
      </c>
      <c r="H94" t="s">
        <v>35</v>
      </c>
      <c r="I94" t="s">
        <v>36</v>
      </c>
      <c r="J94" t="s">
        <v>35</v>
      </c>
      <c r="K94" t="str">
        <f>IF(AND(Claims[[#This Row],[Invoice Attached]]="Yes",Claims[[#This Row],[Serial Number Valid]]="Yes",Claims[[#This Row],[Promotion Eligible]]="Yes"),"Approved","Rejected")</f>
        <v>Rejected</v>
      </c>
      <c r="L94">
        <f>IF(Claims[[#This Row],[Validation Status]]="Approved",_xlfn.XLOOKUP(Claims[[#This Row],[Product]],Products[Product],Products[Cashback],0),0)</f>
        <v>0</v>
      </c>
      <c r="M94">
        <v>1100</v>
      </c>
      <c r="N94" t="str">
        <f>IF(Claims[[#This Row],[Validation Status]]="Rejected","Cancelled",IF(MOD(Claims[[#This Row],[Sequence]],5)=0,"Pending","Paid"))</f>
        <v>Cancelled</v>
      </c>
      <c r="O94" s="2" t="str">
        <f>IF(Claims[[#This Row],[Payment Status]]="Paid",Claims[[#This Row],[Claim date]]+2+MOD(Claims[[#This Row],[Sequence]],6),"")</f>
        <v/>
      </c>
      <c r="P94" t="str">
        <f>IF(OR(Claims[[#This Row],[Payment Status]]&lt;&gt;"Paid",Claims[[#This Row],[Payment Date]]="",Claims[[#This Row],[Claim date]]=""),"",Claims[[#This Row],[Payment Date]]-Claims[[#This Row],[Claim date]])</f>
        <v/>
      </c>
    </row>
    <row r="95" spans="1:16" x14ac:dyDescent="0.25">
      <c r="A95" t="str">
        <f>"CLM-"&amp;TEXT(Claims[[#This Row],[Sequence]],"0000")</f>
        <v>CLM-0094</v>
      </c>
      <c r="B95" cm="1">
        <f t="array" ref="B95">ROW()-ROW(Claims[#Headers])</f>
        <v>94</v>
      </c>
      <c r="C95" t="s">
        <v>6</v>
      </c>
      <c r="D95" t="s">
        <v>60</v>
      </c>
      <c r="E95" t="s">
        <v>20</v>
      </c>
      <c r="F95" s="2">
        <f>DATE(2026,5,1)+MOD(Claims[[#This Row],[Sequence]]*7,61)</f>
        <v>46191</v>
      </c>
      <c r="G95" s="2">
        <f>Claims[[#This Row],[Purchase Date]]+1+MOD(Claims[[#This Row],[Sequence]]*3,14)</f>
        <v>46194</v>
      </c>
      <c r="H95" t="s">
        <v>35</v>
      </c>
      <c r="I95" t="s">
        <v>35</v>
      </c>
      <c r="J95" t="s">
        <v>35</v>
      </c>
      <c r="K95" t="str">
        <f>IF(AND(Claims[[#This Row],[Invoice Attached]]="Yes",Claims[[#This Row],[Serial Number Valid]]="Yes",Claims[[#This Row],[Promotion Eligible]]="Yes"),"Approved","Rejected")</f>
        <v>Approved</v>
      </c>
      <c r="L95">
        <f>IF(Claims[[#This Row],[Validation Status]]="Approved",_xlfn.XLOOKUP(Claims[[#This Row],[Product]],Products[Product],Products[Cashback],0),0)</f>
        <v>70</v>
      </c>
      <c r="M95">
        <v>1000</v>
      </c>
      <c r="N95" t="str">
        <f>IF(Claims[[#This Row],[Validation Status]]="Rejected","Cancelled",IF(MOD(Claims[[#This Row],[Sequence]],5)=0,"Pending","Paid"))</f>
        <v>Paid</v>
      </c>
      <c r="O95" s="2">
        <f>IF(Claims[[#This Row],[Payment Status]]="Paid",Claims[[#This Row],[Claim date]]+2+MOD(Claims[[#This Row],[Sequence]],6),"")</f>
        <v>46200</v>
      </c>
      <c r="P95">
        <f>IF(OR(Claims[[#This Row],[Payment Status]]&lt;&gt;"Paid",Claims[[#This Row],[Payment Date]]="",Claims[[#This Row],[Claim date]]=""),"",Claims[[#This Row],[Payment Date]]-Claims[[#This Row],[Claim date]])</f>
        <v>6</v>
      </c>
    </row>
    <row r="96" spans="1:16" x14ac:dyDescent="0.25">
      <c r="A96" t="str">
        <f>"CLM-"&amp;TEXT(Claims[[#This Row],[Sequence]],"0000")</f>
        <v>CLM-0095</v>
      </c>
      <c r="B96" cm="1">
        <f t="array" ref="B96">ROW()-ROW(Claims[#Headers])</f>
        <v>95</v>
      </c>
      <c r="C96" t="s">
        <v>7</v>
      </c>
      <c r="D96" t="s">
        <v>61</v>
      </c>
      <c r="E96" t="s">
        <v>8</v>
      </c>
      <c r="F96" s="2">
        <f>DATE(2026,5,1)+MOD(Claims[[#This Row],[Sequence]]*7,61)</f>
        <v>46198</v>
      </c>
      <c r="G96" s="2">
        <f>Claims[[#This Row],[Purchase Date]]+1+MOD(Claims[[#This Row],[Sequence]]*3,14)</f>
        <v>46204</v>
      </c>
      <c r="H96" t="s">
        <v>36</v>
      </c>
      <c r="I96" t="s">
        <v>35</v>
      </c>
      <c r="J96" t="s">
        <v>35</v>
      </c>
      <c r="K96" t="str">
        <f>IF(AND(Claims[[#This Row],[Invoice Attached]]="Yes",Claims[[#This Row],[Serial Number Valid]]="Yes",Claims[[#This Row],[Promotion Eligible]]="Yes"),"Approved","Rejected")</f>
        <v>Rejected</v>
      </c>
      <c r="L96">
        <f>IF(Claims[[#This Row],[Validation Status]]="Approved",_xlfn.XLOOKUP(Claims[[#This Row],[Product]],Products[Product],Products[Cashback],0),0)</f>
        <v>0</v>
      </c>
      <c r="M96">
        <v>200</v>
      </c>
      <c r="N96" t="str">
        <f>IF(Claims[[#This Row],[Validation Status]]="Rejected","Cancelled",IF(MOD(Claims[[#This Row],[Sequence]],5)=0,"Pending","Paid"))</f>
        <v>Cancelled</v>
      </c>
      <c r="O96" s="2" t="str">
        <f>IF(Claims[[#This Row],[Payment Status]]="Paid",Claims[[#This Row],[Claim date]]+2+MOD(Claims[[#This Row],[Sequence]],6),"")</f>
        <v/>
      </c>
      <c r="P96" t="str">
        <f>IF(OR(Claims[[#This Row],[Payment Status]]&lt;&gt;"Paid",Claims[[#This Row],[Payment Date]]="",Claims[[#This Row],[Claim date]]=""),"",Claims[[#This Row],[Payment Date]]-Claims[[#This Row],[Claim date]])</f>
        <v/>
      </c>
    </row>
    <row r="97" spans="1:16" x14ac:dyDescent="0.25">
      <c r="A97" t="str">
        <f>"CLM-"&amp;TEXT(Claims[[#This Row],[Sequence]],"0000")</f>
        <v>CLM-0096</v>
      </c>
      <c r="B97" cm="1">
        <f t="array" ref="B97">ROW()-ROW(Claims[#Headers])</f>
        <v>96</v>
      </c>
      <c r="C97" t="s">
        <v>9</v>
      </c>
      <c r="D97" t="s">
        <v>57</v>
      </c>
      <c r="E97" t="s">
        <v>21</v>
      </c>
      <c r="F97" s="2">
        <f>DATE(2026,5,1)+MOD(Claims[[#This Row],[Sequence]]*7,61)</f>
        <v>46144</v>
      </c>
      <c r="G97" s="2">
        <f>Claims[[#This Row],[Purchase Date]]+1+MOD(Claims[[#This Row],[Sequence]]*3,14)</f>
        <v>46153</v>
      </c>
      <c r="H97" t="s">
        <v>35</v>
      </c>
      <c r="I97" t="s">
        <v>36</v>
      </c>
      <c r="J97" t="s">
        <v>36</v>
      </c>
      <c r="K97" t="str">
        <f>IF(AND(Claims[[#This Row],[Invoice Attached]]="Yes",Claims[[#This Row],[Serial Number Valid]]="Yes",Claims[[#This Row],[Promotion Eligible]]="Yes"),"Approved","Rejected")</f>
        <v>Rejected</v>
      </c>
      <c r="L97">
        <f>IF(Claims[[#This Row],[Validation Status]]="Approved",_xlfn.XLOOKUP(Claims[[#This Row],[Product]],Products[Product],Products[Cashback],0),0)</f>
        <v>0</v>
      </c>
      <c r="M97">
        <v>650</v>
      </c>
      <c r="N97" t="str">
        <f>IF(Claims[[#This Row],[Validation Status]]="Rejected","Cancelled",IF(MOD(Claims[[#This Row],[Sequence]],5)=0,"Pending","Paid"))</f>
        <v>Cancelled</v>
      </c>
      <c r="O97" s="2" t="str">
        <f>IF(Claims[[#This Row],[Payment Status]]="Paid",Claims[[#This Row],[Claim date]]+2+MOD(Claims[[#This Row],[Sequence]],6),"")</f>
        <v/>
      </c>
      <c r="P97" t="str">
        <f>IF(OR(Claims[[#This Row],[Payment Status]]&lt;&gt;"Paid",Claims[[#This Row],[Payment Date]]="",Claims[[#This Row],[Claim date]]=""),"",Claims[[#This Row],[Payment Date]]-Claims[[#This Row],[Claim date]])</f>
        <v/>
      </c>
    </row>
    <row r="98" spans="1:16" x14ac:dyDescent="0.25">
      <c r="A98" t="str">
        <f>"CLM-"&amp;TEXT(Claims[[#This Row],[Sequence]],"0000")</f>
        <v>CLM-0097</v>
      </c>
      <c r="B98" cm="1">
        <f t="array" ref="B98">ROW()-ROW(Claims[#Headers])</f>
        <v>97</v>
      </c>
      <c r="C98" t="s">
        <v>6</v>
      </c>
      <c r="D98" t="s">
        <v>58</v>
      </c>
      <c r="E98" t="s">
        <v>15</v>
      </c>
      <c r="F98" s="2">
        <f>DATE(2026,5,1)+MOD(Claims[[#This Row],[Sequence]]*7,61)</f>
        <v>46151</v>
      </c>
      <c r="G98" s="2">
        <f>Claims[[#This Row],[Purchase Date]]+1+MOD(Claims[[#This Row],[Sequence]]*3,14)</f>
        <v>46163</v>
      </c>
      <c r="H98" t="s">
        <v>35</v>
      </c>
      <c r="I98" t="s">
        <v>35</v>
      </c>
      <c r="J98" t="s">
        <v>35</v>
      </c>
      <c r="K98" t="str">
        <f>IF(AND(Claims[[#This Row],[Invoice Attached]]="Yes",Claims[[#This Row],[Serial Number Valid]]="Yes",Claims[[#This Row],[Promotion Eligible]]="Yes"),"Approved","Rejected")</f>
        <v>Approved</v>
      </c>
      <c r="L98">
        <f>IF(Claims[[#This Row],[Validation Status]]="Approved",_xlfn.XLOOKUP(Claims[[#This Row],[Product]],Products[Product],Products[Cashback],0),0)</f>
        <v>150</v>
      </c>
      <c r="M98">
        <v>1050</v>
      </c>
      <c r="N98" t="str">
        <f>IF(Claims[[#This Row],[Validation Status]]="Rejected","Cancelled",IF(MOD(Claims[[#This Row],[Sequence]],5)=0,"Pending","Paid"))</f>
        <v>Paid</v>
      </c>
      <c r="O98" s="2">
        <f>IF(Claims[[#This Row],[Payment Status]]="Paid",Claims[[#This Row],[Claim date]]+2+MOD(Claims[[#This Row],[Sequence]],6),"")</f>
        <v>46166</v>
      </c>
      <c r="P98">
        <f>IF(OR(Claims[[#This Row],[Payment Status]]&lt;&gt;"Paid",Claims[[#This Row],[Payment Date]]="",Claims[[#This Row],[Claim date]]=""),"",Claims[[#This Row],[Payment Date]]-Claims[[#This Row],[Claim date]])</f>
        <v>3</v>
      </c>
    </row>
    <row r="99" spans="1:16" x14ac:dyDescent="0.25">
      <c r="A99" t="str">
        <f>"CLM-"&amp;TEXT(Claims[[#This Row],[Sequence]],"0000")</f>
        <v>CLM-0098</v>
      </c>
      <c r="B99" cm="1">
        <f t="array" ref="B99">ROW()-ROW(Claims[#Headers])</f>
        <v>98</v>
      </c>
      <c r="C99" t="s">
        <v>7</v>
      </c>
      <c r="D99" t="s">
        <v>59</v>
      </c>
      <c r="E99" t="s">
        <v>16</v>
      </c>
      <c r="F99" s="2">
        <f>DATE(2026,5,1)+MOD(Claims[[#This Row],[Sequence]]*7,61)</f>
        <v>46158</v>
      </c>
      <c r="G99" s="2">
        <f>Claims[[#This Row],[Purchase Date]]+1+MOD(Claims[[#This Row],[Sequence]]*3,14)</f>
        <v>46159</v>
      </c>
      <c r="H99" t="s">
        <v>35</v>
      </c>
      <c r="I99" t="s">
        <v>35</v>
      </c>
      <c r="J99" t="s">
        <v>35</v>
      </c>
      <c r="K99" t="str">
        <f>IF(AND(Claims[[#This Row],[Invoice Attached]]="Yes",Claims[[#This Row],[Serial Number Valid]]="Yes",Claims[[#This Row],[Promotion Eligible]]="Yes"),"Approved","Rejected")</f>
        <v>Approved</v>
      </c>
      <c r="L99">
        <f>IF(Claims[[#This Row],[Validation Status]]="Approved",_xlfn.XLOOKUP(Claims[[#This Row],[Product]],Products[Product],Products[Cashback],0),0)</f>
        <v>200</v>
      </c>
      <c r="M99">
        <v>220</v>
      </c>
      <c r="N99" t="str">
        <f>IF(Claims[[#This Row],[Validation Status]]="Rejected","Cancelled",IF(MOD(Claims[[#This Row],[Sequence]],5)=0,"Pending","Paid"))</f>
        <v>Paid</v>
      </c>
      <c r="O99" s="2">
        <f>IF(Claims[[#This Row],[Payment Status]]="Paid",Claims[[#This Row],[Claim date]]+2+MOD(Claims[[#This Row],[Sequence]],6),"")</f>
        <v>46163</v>
      </c>
      <c r="P99">
        <f>IF(OR(Claims[[#This Row],[Payment Status]]&lt;&gt;"Paid",Claims[[#This Row],[Payment Date]]="",Claims[[#This Row],[Claim date]]=""),"",Claims[[#This Row],[Payment Date]]-Claims[[#This Row],[Claim date]])</f>
        <v>4</v>
      </c>
    </row>
    <row r="100" spans="1:16" x14ac:dyDescent="0.25">
      <c r="A100" t="str">
        <f>"CLM-"&amp;TEXT(Claims[[#This Row],[Sequence]],"0000")</f>
        <v>CLM-0099</v>
      </c>
      <c r="B100" cm="1">
        <f t="array" ref="B100">ROW()-ROW(Claims[#Headers])</f>
        <v>99</v>
      </c>
      <c r="C100" t="s">
        <v>9</v>
      </c>
      <c r="D100" t="s">
        <v>60</v>
      </c>
      <c r="E100" t="s">
        <v>17</v>
      </c>
      <c r="F100" s="2">
        <f>DATE(2026,5,1)+MOD(Claims[[#This Row],[Sequence]]*7,61)</f>
        <v>46165</v>
      </c>
      <c r="G100" s="2">
        <f>Claims[[#This Row],[Purchase Date]]+1+MOD(Claims[[#This Row],[Sequence]]*3,14)</f>
        <v>46169</v>
      </c>
      <c r="H100" t="s">
        <v>36</v>
      </c>
      <c r="I100" t="s">
        <v>35</v>
      </c>
      <c r="J100" t="s">
        <v>36</v>
      </c>
      <c r="K100" t="str">
        <f>IF(AND(Claims[[#This Row],[Invoice Attached]]="Yes",Claims[[#This Row],[Serial Number Valid]]="Yes",Claims[[#This Row],[Promotion Eligible]]="Yes"),"Approved","Rejected")</f>
        <v>Rejected</v>
      </c>
      <c r="L100">
        <f>IF(Claims[[#This Row],[Validation Status]]="Approved",_xlfn.XLOOKUP(Claims[[#This Row],[Product]],Products[Product],Products[Cashback],0),0)</f>
        <v>0</v>
      </c>
      <c r="M100">
        <v>1000</v>
      </c>
      <c r="N100" t="str">
        <f>IF(Claims[[#This Row],[Validation Status]]="Rejected","Cancelled",IF(MOD(Claims[[#This Row],[Sequence]],5)=0,"Pending","Paid"))</f>
        <v>Cancelled</v>
      </c>
      <c r="O100" s="2" t="str">
        <f>IF(Claims[[#This Row],[Payment Status]]="Paid",Claims[[#This Row],[Claim date]]+2+MOD(Claims[[#This Row],[Sequence]],6),"")</f>
        <v/>
      </c>
      <c r="P100" t="str">
        <f>IF(OR(Claims[[#This Row],[Payment Status]]&lt;&gt;"Paid",Claims[[#This Row],[Payment Date]]="",Claims[[#This Row],[Claim date]]=""),"",Claims[[#This Row],[Payment Date]]-Claims[[#This Row],[Claim date]])</f>
        <v/>
      </c>
    </row>
    <row r="101" spans="1:16" x14ac:dyDescent="0.25">
      <c r="A101" t="str">
        <f>"CLM-"&amp;TEXT(Claims[[#This Row],[Sequence]],"0000")</f>
        <v>CLM-0100</v>
      </c>
      <c r="B101" cm="1">
        <f t="array" ref="B101">ROW()-ROW(Claims[#Headers])</f>
        <v>100</v>
      </c>
      <c r="C101" t="s">
        <v>6</v>
      </c>
      <c r="D101" t="s">
        <v>61</v>
      </c>
      <c r="E101" t="s">
        <v>18</v>
      </c>
      <c r="F101" s="2">
        <f>DATE(2026,5,1)+MOD(Claims[[#This Row],[Sequence]]*7,61)</f>
        <v>46172</v>
      </c>
      <c r="G101" s="2">
        <f>Claims[[#This Row],[Purchase Date]]+1+MOD(Claims[[#This Row],[Sequence]]*3,14)</f>
        <v>46179</v>
      </c>
      <c r="H101" t="s">
        <v>36</v>
      </c>
      <c r="I101" t="s">
        <v>36</v>
      </c>
      <c r="J101" t="s">
        <v>36</v>
      </c>
      <c r="K101" t="str">
        <f>IF(AND(Claims[[#This Row],[Invoice Attached]]="Yes",Claims[[#This Row],[Serial Number Valid]]="Yes",Claims[[#This Row],[Promotion Eligible]]="Yes"),"Approved","Rejected")</f>
        <v>Rejected</v>
      </c>
      <c r="L101">
        <f>IF(Claims[[#This Row],[Validation Status]]="Approved",_xlfn.XLOOKUP(Claims[[#This Row],[Product]],Products[Product],Products[Cashback],0),0)</f>
        <v>0</v>
      </c>
      <c r="M101">
        <v>600</v>
      </c>
      <c r="N101" t="str">
        <f>IF(Claims[[#This Row],[Validation Status]]="Rejected","Cancelled",IF(MOD(Claims[[#This Row],[Sequence]],5)=0,"Pending","Paid"))</f>
        <v>Cancelled</v>
      </c>
      <c r="O101" s="2" t="str">
        <f>IF(Claims[[#This Row],[Payment Status]]="Paid",Claims[[#This Row],[Claim date]]+2+MOD(Claims[[#This Row],[Sequence]],6),"")</f>
        <v/>
      </c>
      <c r="P101" t="str">
        <f>IF(OR(Claims[[#This Row],[Payment Status]]&lt;&gt;"Paid",Claims[[#This Row],[Payment Date]]="",Claims[[#This Row],[Claim date]]=""),"",Claims[[#This Row],[Payment Date]]-Claims[[#This Row],[Claim date]])</f>
        <v/>
      </c>
    </row>
    <row r="102" spans="1:16" x14ac:dyDescent="0.25">
      <c r="A102" t="str">
        <f>"CLM-"&amp;TEXT(Claims[[#This Row],[Sequence]],"0000")</f>
        <v>CLM-0101</v>
      </c>
      <c r="B102" cm="1">
        <f t="array" ref="B102">ROW()-ROW(Claims[#Headers])</f>
        <v>101</v>
      </c>
      <c r="C102" t="s">
        <v>6</v>
      </c>
      <c r="D102" t="s">
        <v>57</v>
      </c>
      <c r="E102" t="s">
        <v>19</v>
      </c>
      <c r="F102" s="2">
        <f>DATE(2026,5,1)+MOD(Claims[[#This Row],[Sequence]]*7,61)</f>
        <v>46179</v>
      </c>
      <c r="G102" s="2">
        <f>Claims[[#This Row],[Purchase Date]]+1+MOD(Claims[[#This Row],[Sequence]]*3,14)</f>
        <v>46189</v>
      </c>
      <c r="H102" t="s">
        <v>35</v>
      </c>
      <c r="I102" t="s">
        <v>35</v>
      </c>
      <c r="J102" t="s">
        <v>35</v>
      </c>
      <c r="K102" t="str">
        <f>IF(AND(Claims[[#This Row],[Invoice Attached]]="Yes",Claims[[#This Row],[Serial Number Valid]]="Yes",Claims[[#This Row],[Promotion Eligible]]="Yes"),"Approved","Rejected")</f>
        <v>Approved</v>
      </c>
      <c r="L102">
        <f>IF(Claims[[#This Row],[Validation Status]]="Approved",_xlfn.XLOOKUP(Claims[[#This Row],[Product]],Products[Product],Products[Cashback],0),0)</f>
        <v>50</v>
      </c>
      <c r="M102">
        <v>1000</v>
      </c>
      <c r="N102" t="str">
        <f>IF(Claims[[#This Row],[Validation Status]]="Rejected","Cancelled",IF(MOD(Claims[[#This Row],[Sequence]],5)=0,"Pending","Paid"))</f>
        <v>Paid</v>
      </c>
      <c r="O102" s="2">
        <f>IF(Claims[[#This Row],[Payment Status]]="Paid",Claims[[#This Row],[Claim date]]+2+MOD(Claims[[#This Row],[Sequence]],6),"")</f>
        <v>46196</v>
      </c>
      <c r="P102">
        <f>IF(OR(Claims[[#This Row],[Payment Status]]&lt;&gt;"Paid",Claims[[#This Row],[Payment Date]]="",Claims[[#This Row],[Claim date]]=""),"",Claims[[#This Row],[Payment Date]]-Claims[[#This Row],[Claim date]])</f>
        <v>7</v>
      </c>
    </row>
    <row r="103" spans="1:16" x14ac:dyDescent="0.25">
      <c r="A103" t="str">
        <f>"CLM-"&amp;TEXT(Claims[[#This Row],[Sequence]],"0000")</f>
        <v>CLM-0102</v>
      </c>
      <c r="B103" cm="1">
        <f t="array" ref="B103">ROW()-ROW(Claims[#Headers])</f>
        <v>102</v>
      </c>
      <c r="C103" t="s">
        <v>7</v>
      </c>
      <c r="D103" t="s">
        <v>58</v>
      </c>
      <c r="E103" t="s">
        <v>20</v>
      </c>
      <c r="F103" s="2">
        <f>DATE(2026,5,1)+MOD(Claims[[#This Row],[Sequence]]*7,61)</f>
        <v>46186</v>
      </c>
      <c r="G103" s="2">
        <f>Claims[[#This Row],[Purchase Date]]+1+MOD(Claims[[#This Row],[Sequence]]*3,14)</f>
        <v>46199</v>
      </c>
      <c r="H103" t="s">
        <v>36</v>
      </c>
      <c r="I103" t="s">
        <v>35</v>
      </c>
      <c r="J103" t="s">
        <v>36</v>
      </c>
      <c r="K103" t="str">
        <f>IF(AND(Claims[[#This Row],[Invoice Attached]]="Yes",Claims[[#This Row],[Serial Number Valid]]="Yes",Claims[[#This Row],[Promotion Eligible]]="Yes"),"Approved","Rejected")</f>
        <v>Rejected</v>
      </c>
      <c r="L103">
        <f>IF(Claims[[#This Row],[Validation Status]]="Approved",_xlfn.XLOOKUP(Claims[[#This Row],[Product]],Products[Product],Products[Cashback],0),0)</f>
        <v>0</v>
      </c>
      <c r="M103">
        <v>600</v>
      </c>
      <c r="N103" t="str">
        <f>IF(Claims[[#This Row],[Validation Status]]="Rejected","Cancelled",IF(MOD(Claims[[#This Row],[Sequence]],5)=0,"Pending","Paid"))</f>
        <v>Cancelled</v>
      </c>
      <c r="O103" s="2" t="str">
        <f>IF(Claims[[#This Row],[Payment Status]]="Paid",Claims[[#This Row],[Claim date]]+2+MOD(Claims[[#This Row],[Sequence]],6),"")</f>
        <v/>
      </c>
      <c r="P103" t="str">
        <f>IF(OR(Claims[[#This Row],[Payment Status]]&lt;&gt;"Paid",Claims[[#This Row],[Payment Date]]="",Claims[[#This Row],[Claim date]]=""),"",Claims[[#This Row],[Payment Date]]-Claims[[#This Row],[Claim date]])</f>
        <v/>
      </c>
    </row>
    <row r="104" spans="1:16" x14ac:dyDescent="0.25">
      <c r="A104" t="str">
        <f>"CLM-"&amp;TEXT(Claims[[#This Row],[Sequence]],"0000")</f>
        <v>CLM-0103</v>
      </c>
      <c r="B104" cm="1">
        <f t="array" ref="B104">ROW()-ROW(Claims[#Headers])</f>
        <v>103</v>
      </c>
      <c r="C104" t="s">
        <v>9</v>
      </c>
      <c r="D104" t="s">
        <v>59</v>
      </c>
      <c r="E104" t="s">
        <v>8</v>
      </c>
      <c r="F104" s="2">
        <f>DATE(2026,5,1)+MOD(Claims[[#This Row],[Sequence]]*7,61)</f>
        <v>46193</v>
      </c>
      <c r="G104" s="2">
        <f>Claims[[#This Row],[Purchase Date]]+1+MOD(Claims[[#This Row],[Sequence]]*3,14)</f>
        <v>46195</v>
      </c>
      <c r="H104" t="s">
        <v>35</v>
      </c>
      <c r="I104" t="s">
        <v>36</v>
      </c>
      <c r="J104" t="s">
        <v>35</v>
      </c>
      <c r="K104" t="str">
        <f>IF(AND(Claims[[#This Row],[Invoice Attached]]="Yes",Claims[[#This Row],[Serial Number Valid]]="Yes",Claims[[#This Row],[Promotion Eligible]]="Yes"),"Approved","Rejected")</f>
        <v>Rejected</v>
      </c>
      <c r="L104">
        <f>IF(Claims[[#This Row],[Validation Status]]="Approved",_xlfn.XLOOKUP(Claims[[#This Row],[Product]],Products[Product],Products[Cashback],0),0)</f>
        <v>0</v>
      </c>
      <c r="M104">
        <v>1100</v>
      </c>
      <c r="N104" t="str">
        <f>IF(Claims[[#This Row],[Validation Status]]="Rejected","Cancelled",IF(MOD(Claims[[#This Row],[Sequence]],5)=0,"Pending","Paid"))</f>
        <v>Cancelled</v>
      </c>
      <c r="O104" s="2" t="str">
        <f>IF(Claims[[#This Row],[Payment Status]]="Paid",Claims[[#This Row],[Claim date]]+2+MOD(Claims[[#This Row],[Sequence]],6),"")</f>
        <v/>
      </c>
      <c r="P104" t="str">
        <f>IF(OR(Claims[[#This Row],[Payment Status]]&lt;&gt;"Paid",Claims[[#This Row],[Payment Date]]="",Claims[[#This Row],[Claim date]]=""),"",Claims[[#This Row],[Payment Date]]-Claims[[#This Row],[Claim date]])</f>
        <v/>
      </c>
    </row>
    <row r="105" spans="1:16" x14ac:dyDescent="0.25">
      <c r="A105" t="str">
        <f>"CLM-"&amp;TEXT(Claims[[#This Row],[Sequence]],"0000")</f>
        <v>CLM-0104</v>
      </c>
      <c r="B105" cm="1">
        <f t="array" ref="B105">ROW()-ROW(Claims[#Headers])</f>
        <v>104</v>
      </c>
      <c r="C105" t="s">
        <v>6</v>
      </c>
      <c r="D105" t="s">
        <v>60</v>
      </c>
      <c r="E105" t="s">
        <v>21</v>
      </c>
      <c r="F105" s="2">
        <f>DATE(2026,5,1)+MOD(Claims[[#This Row],[Sequence]]*7,61)</f>
        <v>46200</v>
      </c>
      <c r="G105" s="2">
        <f>Claims[[#This Row],[Purchase Date]]+1+MOD(Claims[[#This Row],[Sequence]]*3,14)</f>
        <v>46205</v>
      </c>
      <c r="H105" t="s">
        <v>35</v>
      </c>
      <c r="I105" t="s">
        <v>35</v>
      </c>
      <c r="J105" t="s">
        <v>35</v>
      </c>
      <c r="K105" t="str">
        <f>IF(AND(Claims[[#This Row],[Invoice Attached]]="Yes",Claims[[#This Row],[Serial Number Valid]]="Yes",Claims[[#This Row],[Promotion Eligible]]="Yes"),"Approved","Rejected")</f>
        <v>Approved</v>
      </c>
      <c r="L105">
        <f>IF(Claims[[#This Row],[Validation Status]]="Approved",_xlfn.XLOOKUP(Claims[[#This Row],[Product]],Products[Product],Products[Cashback],0),0)</f>
        <v>250</v>
      </c>
      <c r="M105">
        <v>1000</v>
      </c>
      <c r="N105" t="str">
        <f>IF(Claims[[#This Row],[Validation Status]]="Rejected","Cancelled",IF(MOD(Claims[[#This Row],[Sequence]],5)=0,"Pending","Paid"))</f>
        <v>Paid</v>
      </c>
      <c r="O105" s="2">
        <f>IF(Claims[[#This Row],[Payment Status]]="Paid",Claims[[#This Row],[Claim date]]+2+MOD(Claims[[#This Row],[Sequence]],6),"")</f>
        <v>46209</v>
      </c>
      <c r="P105">
        <f>IF(OR(Claims[[#This Row],[Payment Status]]&lt;&gt;"Paid",Claims[[#This Row],[Payment Date]]="",Claims[[#This Row],[Claim date]]=""),"",Claims[[#This Row],[Payment Date]]-Claims[[#This Row],[Claim date]])</f>
        <v>4</v>
      </c>
    </row>
    <row r="106" spans="1:16" x14ac:dyDescent="0.25">
      <c r="A106" t="str">
        <f>"CLM-"&amp;TEXT(Claims[[#This Row],[Sequence]],"0000")</f>
        <v>CLM-0105</v>
      </c>
      <c r="B106" cm="1">
        <f t="array" ref="B106">ROW()-ROW(Claims[#Headers])</f>
        <v>105</v>
      </c>
      <c r="C106" t="s">
        <v>7</v>
      </c>
      <c r="D106" t="s">
        <v>61</v>
      </c>
      <c r="E106" t="s">
        <v>15</v>
      </c>
      <c r="F106" s="2">
        <f>DATE(2026,5,1)+MOD(Claims[[#This Row],[Sequence]]*7,61)</f>
        <v>46146</v>
      </c>
      <c r="G106" s="2">
        <f>Claims[[#This Row],[Purchase Date]]+1+MOD(Claims[[#This Row],[Sequence]]*3,14)</f>
        <v>46154</v>
      </c>
      <c r="H106" t="s">
        <v>36</v>
      </c>
      <c r="I106" t="s">
        <v>35</v>
      </c>
      <c r="J106" t="s">
        <v>35</v>
      </c>
      <c r="K106" t="str">
        <f>IF(AND(Claims[[#This Row],[Invoice Attached]]="Yes",Claims[[#This Row],[Serial Number Valid]]="Yes",Claims[[#This Row],[Promotion Eligible]]="Yes"),"Approved","Rejected")</f>
        <v>Rejected</v>
      </c>
      <c r="L106">
        <f>IF(Claims[[#This Row],[Validation Status]]="Approved",_xlfn.XLOOKUP(Claims[[#This Row],[Product]],Products[Product],Products[Cashback],0),0)</f>
        <v>0</v>
      </c>
      <c r="M106">
        <v>200</v>
      </c>
      <c r="N106" t="str">
        <f>IF(Claims[[#This Row],[Validation Status]]="Rejected","Cancelled",IF(MOD(Claims[[#This Row],[Sequence]],5)=0,"Pending","Paid"))</f>
        <v>Cancelled</v>
      </c>
      <c r="O106" s="2" t="str">
        <f>IF(Claims[[#This Row],[Payment Status]]="Paid",Claims[[#This Row],[Claim date]]+2+MOD(Claims[[#This Row],[Sequence]],6),"")</f>
        <v/>
      </c>
      <c r="P106" t="str">
        <f>IF(OR(Claims[[#This Row],[Payment Status]]&lt;&gt;"Paid",Claims[[#This Row],[Payment Date]]="",Claims[[#This Row],[Claim date]]=""),"",Claims[[#This Row],[Payment Date]]-Claims[[#This Row],[Claim date]])</f>
        <v/>
      </c>
    </row>
    <row r="107" spans="1:16" x14ac:dyDescent="0.25">
      <c r="A107" t="str">
        <f>"CLM-"&amp;TEXT(Claims[[#This Row],[Sequence]],"0000")</f>
        <v>CLM-0106</v>
      </c>
      <c r="B107" cm="1">
        <f t="array" ref="B107">ROW()-ROW(Claims[#Headers])</f>
        <v>106</v>
      </c>
      <c r="C107" t="s">
        <v>9</v>
      </c>
      <c r="D107" t="s">
        <v>57</v>
      </c>
      <c r="E107" t="s">
        <v>16</v>
      </c>
      <c r="F107" s="2">
        <f>DATE(2026,5,1)+MOD(Claims[[#This Row],[Sequence]]*7,61)</f>
        <v>46153</v>
      </c>
      <c r="G107" s="2">
        <f>Claims[[#This Row],[Purchase Date]]+1+MOD(Claims[[#This Row],[Sequence]]*3,14)</f>
        <v>46164</v>
      </c>
      <c r="H107" t="s">
        <v>35</v>
      </c>
      <c r="I107" t="s">
        <v>36</v>
      </c>
      <c r="J107" t="s">
        <v>36</v>
      </c>
      <c r="K107" t="str">
        <f>IF(AND(Claims[[#This Row],[Invoice Attached]]="Yes",Claims[[#This Row],[Serial Number Valid]]="Yes",Claims[[#This Row],[Promotion Eligible]]="Yes"),"Approved","Rejected")</f>
        <v>Rejected</v>
      </c>
      <c r="L107">
        <f>IF(Claims[[#This Row],[Validation Status]]="Approved",_xlfn.XLOOKUP(Claims[[#This Row],[Product]],Products[Product],Products[Cashback],0),0)</f>
        <v>0</v>
      </c>
      <c r="M107">
        <v>650</v>
      </c>
      <c r="N107" t="str">
        <f>IF(Claims[[#This Row],[Validation Status]]="Rejected","Cancelled",IF(MOD(Claims[[#This Row],[Sequence]],5)=0,"Pending","Paid"))</f>
        <v>Cancelled</v>
      </c>
      <c r="O107" s="2" t="str">
        <f>IF(Claims[[#This Row],[Payment Status]]="Paid",Claims[[#This Row],[Claim date]]+2+MOD(Claims[[#This Row],[Sequence]],6),"")</f>
        <v/>
      </c>
      <c r="P107" t="str">
        <f>IF(OR(Claims[[#This Row],[Payment Status]]&lt;&gt;"Paid",Claims[[#This Row],[Payment Date]]="",Claims[[#This Row],[Claim date]]=""),"",Claims[[#This Row],[Payment Date]]-Claims[[#This Row],[Claim date]])</f>
        <v/>
      </c>
    </row>
    <row r="108" spans="1:16" x14ac:dyDescent="0.25">
      <c r="A108" t="str">
        <f>"CLM-"&amp;TEXT(Claims[[#This Row],[Sequence]],"0000")</f>
        <v>CLM-0107</v>
      </c>
      <c r="B108" cm="1">
        <f t="array" ref="B108">ROW()-ROW(Claims[#Headers])</f>
        <v>107</v>
      </c>
      <c r="C108" t="s">
        <v>6</v>
      </c>
      <c r="D108" t="s">
        <v>58</v>
      </c>
      <c r="E108" t="s">
        <v>17</v>
      </c>
      <c r="F108" s="2">
        <f>DATE(2026,5,1)+MOD(Claims[[#This Row],[Sequence]]*7,61)</f>
        <v>46160</v>
      </c>
      <c r="G108" s="2">
        <f>Claims[[#This Row],[Purchase Date]]+1+MOD(Claims[[#This Row],[Sequence]]*3,14)</f>
        <v>46174</v>
      </c>
      <c r="H108" t="s">
        <v>35</v>
      </c>
      <c r="I108" t="s">
        <v>35</v>
      </c>
      <c r="J108" t="s">
        <v>35</v>
      </c>
      <c r="K108" t="str">
        <f>IF(AND(Claims[[#This Row],[Invoice Attached]]="Yes",Claims[[#This Row],[Serial Number Valid]]="Yes",Claims[[#This Row],[Promotion Eligible]]="Yes"),"Approved","Rejected")</f>
        <v>Approved</v>
      </c>
      <c r="L108">
        <f>IF(Claims[[#This Row],[Validation Status]]="Approved",_xlfn.XLOOKUP(Claims[[#This Row],[Product]],Products[Product],Products[Cashback],0),0)</f>
        <v>80</v>
      </c>
      <c r="M108">
        <v>1050</v>
      </c>
      <c r="N108" t="str">
        <f>IF(Claims[[#This Row],[Validation Status]]="Rejected","Cancelled",IF(MOD(Claims[[#This Row],[Sequence]],5)=0,"Pending","Paid"))</f>
        <v>Paid</v>
      </c>
      <c r="O108" s="2">
        <f>IF(Claims[[#This Row],[Payment Status]]="Paid",Claims[[#This Row],[Claim date]]+2+MOD(Claims[[#This Row],[Sequence]],6),"")</f>
        <v>46181</v>
      </c>
      <c r="P108">
        <f>IF(OR(Claims[[#This Row],[Payment Status]]&lt;&gt;"Paid",Claims[[#This Row],[Payment Date]]="",Claims[[#This Row],[Claim date]]=""),"",Claims[[#This Row],[Payment Date]]-Claims[[#This Row],[Claim date]])</f>
        <v>7</v>
      </c>
    </row>
    <row r="109" spans="1:16" x14ac:dyDescent="0.25">
      <c r="A109" t="str">
        <f>"CLM-"&amp;TEXT(Claims[[#This Row],[Sequence]],"0000")</f>
        <v>CLM-0108</v>
      </c>
      <c r="B109" cm="1">
        <f t="array" ref="B109">ROW()-ROW(Claims[#Headers])</f>
        <v>108</v>
      </c>
      <c r="C109" t="s">
        <v>7</v>
      </c>
      <c r="D109" t="s">
        <v>59</v>
      </c>
      <c r="E109" t="s">
        <v>18</v>
      </c>
      <c r="F109" s="2">
        <f>DATE(2026,5,1)+MOD(Claims[[#This Row],[Sequence]]*7,61)</f>
        <v>46167</v>
      </c>
      <c r="G109" s="2">
        <f>Claims[[#This Row],[Purchase Date]]+1+MOD(Claims[[#This Row],[Sequence]]*3,14)</f>
        <v>46170</v>
      </c>
      <c r="H109" t="s">
        <v>35</v>
      </c>
      <c r="I109" t="s">
        <v>35</v>
      </c>
      <c r="J109" t="s">
        <v>35</v>
      </c>
      <c r="K109" t="str">
        <f>IF(AND(Claims[[#This Row],[Invoice Attached]]="Yes",Claims[[#This Row],[Serial Number Valid]]="Yes",Claims[[#This Row],[Promotion Eligible]]="Yes"),"Approved","Rejected")</f>
        <v>Approved</v>
      </c>
      <c r="L109">
        <f>IF(Claims[[#This Row],[Validation Status]]="Approved",_xlfn.XLOOKUP(Claims[[#This Row],[Product]],Products[Product],Products[Cashback],0),0)</f>
        <v>60</v>
      </c>
      <c r="M109">
        <v>220</v>
      </c>
      <c r="N109" t="str">
        <f>IF(Claims[[#This Row],[Validation Status]]="Rejected","Cancelled",IF(MOD(Claims[[#This Row],[Sequence]],5)=0,"Pending","Paid"))</f>
        <v>Paid</v>
      </c>
      <c r="O109" s="2">
        <f>IF(Claims[[#This Row],[Payment Status]]="Paid",Claims[[#This Row],[Claim date]]+2+MOD(Claims[[#This Row],[Sequence]],6),"")</f>
        <v>46172</v>
      </c>
      <c r="P109">
        <f>IF(OR(Claims[[#This Row],[Payment Status]]&lt;&gt;"Paid",Claims[[#This Row],[Payment Date]]="",Claims[[#This Row],[Claim date]]=""),"",Claims[[#This Row],[Payment Date]]-Claims[[#This Row],[Claim date]])</f>
        <v>2</v>
      </c>
    </row>
    <row r="110" spans="1:16" x14ac:dyDescent="0.25">
      <c r="A110" t="str">
        <f>"CLM-"&amp;TEXT(Claims[[#This Row],[Sequence]],"0000")</f>
        <v>CLM-0109</v>
      </c>
      <c r="B110" cm="1">
        <f t="array" ref="B110">ROW()-ROW(Claims[#Headers])</f>
        <v>109</v>
      </c>
      <c r="C110" t="s">
        <v>9</v>
      </c>
      <c r="D110" t="s">
        <v>60</v>
      </c>
      <c r="E110" t="s">
        <v>19</v>
      </c>
      <c r="F110" s="2">
        <f>DATE(2026,5,1)+MOD(Claims[[#This Row],[Sequence]]*7,61)</f>
        <v>46174</v>
      </c>
      <c r="G110" s="2">
        <f>Claims[[#This Row],[Purchase Date]]+1+MOD(Claims[[#This Row],[Sequence]]*3,14)</f>
        <v>46180</v>
      </c>
      <c r="H110" t="s">
        <v>36</v>
      </c>
      <c r="I110" t="s">
        <v>35</v>
      </c>
      <c r="J110" t="s">
        <v>36</v>
      </c>
      <c r="K110" t="str">
        <f>IF(AND(Claims[[#This Row],[Invoice Attached]]="Yes",Claims[[#This Row],[Serial Number Valid]]="Yes",Claims[[#This Row],[Promotion Eligible]]="Yes"),"Approved","Rejected")</f>
        <v>Rejected</v>
      </c>
      <c r="L110">
        <f>IF(Claims[[#This Row],[Validation Status]]="Approved",_xlfn.XLOOKUP(Claims[[#This Row],[Product]],Products[Product],Products[Cashback],0),0)</f>
        <v>0</v>
      </c>
      <c r="M110">
        <v>1000</v>
      </c>
      <c r="N110" t="str">
        <f>IF(Claims[[#This Row],[Validation Status]]="Rejected","Cancelled",IF(MOD(Claims[[#This Row],[Sequence]],5)=0,"Pending","Paid"))</f>
        <v>Cancelled</v>
      </c>
      <c r="O110" s="2" t="str">
        <f>IF(Claims[[#This Row],[Payment Status]]="Paid",Claims[[#This Row],[Claim date]]+2+MOD(Claims[[#This Row],[Sequence]],6),"")</f>
        <v/>
      </c>
      <c r="P110" t="str">
        <f>IF(OR(Claims[[#This Row],[Payment Status]]&lt;&gt;"Paid",Claims[[#This Row],[Payment Date]]="",Claims[[#This Row],[Claim date]]=""),"",Claims[[#This Row],[Payment Date]]-Claims[[#This Row],[Claim date]])</f>
        <v/>
      </c>
    </row>
    <row r="111" spans="1:16" x14ac:dyDescent="0.25">
      <c r="A111" t="str">
        <f>"CLM-"&amp;TEXT(Claims[[#This Row],[Sequence]],"0000")</f>
        <v>CLM-0110</v>
      </c>
      <c r="B111" cm="1">
        <f t="array" ref="B111">ROW()-ROW(Claims[#Headers])</f>
        <v>110</v>
      </c>
      <c r="C111" t="s">
        <v>6</v>
      </c>
      <c r="D111" t="s">
        <v>61</v>
      </c>
      <c r="E111" t="s">
        <v>20</v>
      </c>
      <c r="F111" s="2">
        <f>DATE(2026,5,1)+MOD(Claims[[#This Row],[Sequence]]*7,61)</f>
        <v>46181</v>
      </c>
      <c r="G111" s="2">
        <f>Claims[[#This Row],[Purchase Date]]+1+MOD(Claims[[#This Row],[Sequence]]*3,14)</f>
        <v>46190</v>
      </c>
      <c r="H111" t="s">
        <v>36</v>
      </c>
      <c r="I111" t="s">
        <v>36</v>
      </c>
      <c r="J111" t="s">
        <v>36</v>
      </c>
      <c r="K111" t="str">
        <f>IF(AND(Claims[[#This Row],[Invoice Attached]]="Yes",Claims[[#This Row],[Serial Number Valid]]="Yes",Claims[[#This Row],[Promotion Eligible]]="Yes"),"Approved","Rejected")</f>
        <v>Rejected</v>
      </c>
      <c r="L111">
        <f>IF(Claims[[#This Row],[Validation Status]]="Approved",_xlfn.XLOOKUP(Claims[[#This Row],[Product]],Products[Product],Products[Cashback],0),0)</f>
        <v>0</v>
      </c>
      <c r="M111">
        <v>600</v>
      </c>
      <c r="N111" t="str">
        <f>IF(Claims[[#This Row],[Validation Status]]="Rejected","Cancelled",IF(MOD(Claims[[#This Row],[Sequence]],5)=0,"Pending","Paid"))</f>
        <v>Cancelled</v>
      </c>
      <c r="O111" s="2" t="str">
        <f>IF(Claims[[#This Row],[Payment Status]]="Paid",Claims[[#This Row],[Claim date]]+2+MOD(Claims[[#This Row],[Sequence]],6),"")</f>
        <v/>
      </c>
      <c r="P111" t="str">
        <f>IF(OR(Claims[[#This Row],[Payment Status]]&lt;&gt;"Paid",Claims[[#This Row],[Payment Date]]="",Claims[[#This Row],[Claim date]]=""),"",Claims[[#This Row],[Payment Date]]-Claims[[#This Row],[Claim date]])</f>
        <v/>
      </c>
    </row>
    <row r="112" spans="1:16" x14ac:dyDescent="0.25">
      <c r="A112" t="str">
        <f>"CLM-"&amp;TEXT(Claims[[#This Row],[Sequence]],"0000")</f>
        <v>CLM-0111</v>
      </c>
      <c r="B112" cm="1">
        <f t="array" ref="B112">ROW()-ROW(Claims[#Headers])</f>
        <v>111</v>
      </c>
      <c r="C112" t="s">
        <v>6</v>
      </c>
      <c r="D112" t="s">
        <v>57</v>
      </c>
      <c r="E112" t="s">
        <v>8</v>
      </c>
      <c r="F112" s="2">
        <f>DATE(2026,5,1)+MOD(Claims[[#This Row],[Sequence]]*7,61)</f>
        <v>46188</v>
      </c>
      <c r="G112" s="2">
        <f>Claims[[#This Row],[Purchase Date]]+1+MOD(Claims[[#This Row],[Sequence]]*3,14)</f>
        <v>46200</v>
      </c>
      <c r="H112" t="s">
        <v>35</v>
      </c>
      <c r="I112" t="s">
        <v>35</v>
      </c>
      <c r="J112" t="s">
        <v>35</v>
      </c>
      <c r="K112" t="str">
        <f>IF(AND(Claims[[#This Row],[Invoice Attached]]="Yes",Claims[[#This Row],[Serial Number Valid]]="Yes",Claims[[#This Row],[Promotion Eligible]]="Yes"),"Approved","Rejected")</f>
        <v>Approved</v>
      </c>
      <c r="L112">
        <f>IF(Claims[[#This Row],[Validation Status]]="Approved",_xlfn.XLOOKUP(Claims[[#This Row],[Product]],Products[Product],Products[Cashback],0),0)</f>
        <v>120</v>
      </c>
      <c r="M112">
        <v>1000</v>
      </c>
      <c r="N112" t="str">
        <f>IF(Claims[[#This Row],[Validation Status]]="Rejected","Cancelled",IF(MOD(Claims[[#This Row],[Sequence]],5)=0,"Pending","Paid"))</f>
        <v>Paid</v>
      </c>
      <c r="O112" s="2">
        <f>IF(Claims[[#This Row],[Payment Status]]="Paid",Claims[[#This Row],[Claim date]]+2+MOD(Claims[[#This Row],[Sequence]],6),"")</f>
        <v>46205</v>
      </c>
      <c r="P112">
        <f>IF(OR(Claims[[#This Row],[Payment Status]]&lt;&gt;"Paid",Claims[[#This Row],[Payment Date]]="",Claims[[#This Row],[Claim date]]=""),"",Claims[[#This Row],[Payment Date]]-Claims[[#This Row],[Claim date]])</f>
        <v>5</v>
      </c>
    </row>
    <row r="113" spans="1:16" x14ac:dyDescent="0.25">
      <c r="A113" t="str">
        <f>"CLM-"&amp;TEXT(Claims[[#This Row],[Sequence]],"0000")</f>
        <v>CLM-0112</v>
      </c>
      <c r="B113" cm="1">
        <f t="array" ref="B113">ROW()-ROW(Claims[#Headers])</f>
        <v>112</v>
      </c>
      <c r="C113" t="s">
        <v>7</v>
      </c>
      <c r="D113" t="s">
        <v>58</v>
      </c>
      <c r="E113" t="s">
        <v>21</v>
      </c>
      <c r="F113" s="2">
        <f>DATE(2026,5,1)+MOD(Claims[[#This Row],[Sequence]]*7,61)</f>
        <v>46195</v>
      </c>
      <c r="G113" s="2">
        <f>Claims[[#This Row],[Purchase Date]]+1+MOD(Claims[[#This Row],[Sequence]]*3,14)</f>
        <v>46196</v>
      </c>
      <c r="H113" t="s">
        <v>36</v>
      </c>
      <c r="I113" t="s">
        <v>35</v>
      </c>
      <c r="J113" t="s">
        <v>36</v>
      </c>
      <c r="K113" t="str">
        <f>IF(AND(Claims[[#This Row],[Invoice Attached]]="Yes",Claims[[#This Row],[Serial Number Valid]]="Yes",Claims[[#This Row],[Promotion Eligible]]="Yes"),"Approved","Rejected")</f>
        <v>Rejected</v>
      </c>
      <c r="L113">
        <f>IF(Claims[[#This Row],[Validation Status]]="Approved",_xlfn.XLOOKUP(Claims[[#This Row],[Product]],Products[Product],Products[Cashback],0),0)</f>
        <v>0</v>
      </c>
      <c r="M113">
        <v>600</v>
      </c>
      <c r="N113" t="str">
        <f>IF(Claims[[#This Row],[Validation Status]]="Rejected","Cancelled",IF(MOD(Claims[[#This Row],[Sequence]],5)=0,"Pending","Paid"))</f>
        <v>Cancelled</v>
      </c>
      <c r="O113" s="2" t="str">
        <f>IF(Claims[[#This Row],[Payment Status]]="Paid",Claims[[#This Row],[Claim date]]+2+MOD(Claims[[#This Row],[Sequence]],6),"")</f>
        <v/>
      </c>
      <c r="P113" t="str">
        <f>IF(OR(Claims[[#This Row],[Payment Status]]&lt;&gt;"Paid",Claims[[#This Row],[Payment Date]]="",Claims[[#This Row],[Claim date]]=""),"",Claims[[#This Row],[Payment Date]]-Claims[[#This Row],[Claim date]])</f>
        <v/>
      </c>
    </row>
    <row r="114" spans="1:16" x14ac:dyDescent="0.25">
      <c r="A114" t="str">
        <f>"CLM-"&amp;TEXT(Claims[[#This Row],[Sequence]],"0000")</f>
        <v>CLM-0113</v>
      </c>
      <c r="B114" cm="1">
        <f t="array" ref="B114">ROW()-ROW(Claims[#Headers])</f>
        <v>113</v>
      </c>
      <c r="C114" t="s">
        <v>9</v>
      </c>
      <c r="D114" t="s">
        <v>59</v>
      </c>
      <c r="E114" t="s">
        <v>15</v>
      </c>
      <c r="F114" s="2">
        <f>DATE(2026,5,1)+MOD(Claims[[#This Row],[Sequence]]*7,61)</f>
        <v>46202</v>
      </c>
      <c r="G114" s="2">
        <f>Claims[[#This Row],[Purchase Date]]+1+MOD(Claims[[#This Row],[Sequence]]*3,14)</f>
        <v>46206</v>
      </c>
      <c r="H114" t="s">
        <v>35</v>
      </c>
      <c r="I114" t="s">
        <v>36</v>
      </c>
      <c r="J114" t="s">
        <v>35</v>
      </c>
      <c r="K114" t="str">
        <f>IF(AND(Claims[[#This Row],[Invoice Attached]]="Yes",Claims[[#This Row],[Serial Number Valid]]="Yes",Claims[[#This Row],[Promotion Eligible]]="Yes"),"Approved","Rejected")</f>
        <v>Rejected</v>
      </c>
      <c r="L114">
        <f>IF(Claims[[#This Row],[Validation Status]]="Approved",_xlfn.XLOOKUP(Claims[[#This Row],[Product]],Products[Product],Products[Cashback],0),0)</f>
        <v>0</v>
      </c>
      <c r="M114">
        <v>1100</v>
      </c>
      <c r="N114" t="str">
        <f>IF(Claims[[#This Row],[Validation Status]]="Rejected","Cancelled",IF(MOD(Claims[[#This Row],[Sequence]],5)=0,"Pending","Paid"))</f>
        <v>Cancelled</v>
      </c>
      <c r="O114" s="2" t="str">
        <f>IF(Claims[[#This Row],[Payment Status]]="Paid",Claims[[#This Row],[Claim date]]+2+MOD(Claims[[#This Row],[Sequence]],6),"")</f>
        <v/>
      </c>
      <c r="P114" t="str">
        <f>IF(OR(Claims[[#This Row],[Payment Status]]&lt;&gt;"Paid",Claims[[#This Row],[Payment Date]]="",Claims[[#This Row],[Claim date]]=""),"",Claims[[#This Row],[Payment Date]]-Claims[[#This Row],[Claim date]])</f>
        <v/>
      </c>
    </row>
    <row r="115" spans="1:16" x14ac:dyDescent="0.25">
      <c r="A115" t="str">
        <f>"CLM-"&amp;TEXT(Claims[[#This Row],[Sequence]],"0000")</f>
        <v>CLM-0114</v>
      </c>
      <c r="B115" cm="1">
        <f t="array" ref="B115">ROW()-ROW(Claims[#Headers])</f>
        <v>114</v>
      </c>
      <c r="C115" t="s">
        <v>6</v>
      </c>
      <c r="D115" t="s">
        <v>60</v>
      </c>
      <c r="E115" t="s">
        <v>16</v>
      </c>
      <c r="F115" s="2">
        <f>DATE(2026,5,1)+MOD(Claims[[#This Row],[Sequence]]*7,61)</f>
        <v>46148</v>
      </c>
      <c r="G115" s="2">
        <f>Claims[[#This Row],[Purchase Date]]+1+MOD(Claims[[#This Row],[Sequence]]*3,14)</f>
        <v>46155</v>
      </c>
      <c r="H115" t="s">
        <v>35</v>
      </c>
      <c r="I115" t="s">
        <v>35</v>
      </c>
      <c r="J115" t="s">
        <v>35</v>
      </c>
      <c r="K115" t="str">
        <f>IF(AND(Claims[[#This Row],[Invoice Attached]]="Yes",Claims[[#This Row],[Serial Number Valid]]="Yes",Claims[[#This Row],[Promotion Eligible]]="Yes"),"Approved","Rejected")</f>
        <v>Approved</v>
      </c>
      <c r="L115">
        <f>IF(Claims[[#This Row],[Validation Status]]="Approved",_xlfn.XLOOKUP(Claims[[#This Row],[Product]],Products[Product],Products[Cashback],0),0)</f>
        <v>200</v>
      </c>
      <c r="M115">
        <v>1000</v>
      </c>
      <c r="N115" t="str">
        <f>IF(Claims[[#This Row],[Validation Status]]="Rejected","Cancelled",IF(MOD(Claims[[#This Row],[Sequence]],5)=0,"Pending","Paid"))</f>
        <v>Paid</v>
      </c>
      <c r="O115" s="2">
        <f>IF(Claims[[#This Row],[Payment Status]]="Paid",Claims[[#This Row],[Claim date]]+2+MOD(Claims[[#This Row],[Sequence]],6),"")</f>
        <v>46157</v>
      </c>
      <c r="P115">
        <f>IF(OR(Claims[[#This Row],[Payment Status]]&lt;&gt;"Paid",Claims[[#This Row],[Payment Date]]="",Claims[[#This Row],[Claim date]]=""),"",Claims[[#This Row],[Payment Date]]-Claims[[#This Row],[Claim date]])</f>
        <v>2</v>
      </c>
    </row>
    <row r="116" spans="1:16" x14ac:dyDescent="0.25">
      <c r="A116" t="str">
        <f>"CLM-"&amp;TEXT(Claims[[#This Row],[Sequence]],"0000")</f>
        <v>CLM-0115</v>
      </c>
      <c r="B116" cm="1">
        <f t="array" ref="B116">ROW()-ROW(Claims[#Headers])</f>
        <v>115</v>
      </c>
      <c r="C116" t="s">
        <v>7</v>
      </c>
      <c r="D116" t="s">
        <v>61</v>
      </c>
      <c r="E116" t="s">
        <v>17</v>
      </c>
      <c r="F116" s="2">
        <f>DATE(2026,5,1)+MOD(Claims[[#This Row],[Sequence]]*7,61)</f>
        <v>46155</v>
      </c>
      <c r="G116" s="2">
        <f>Claims[[#This Row],[Purchase Date]]+1+MOD(Claims[[#This Row],[Sequence]]*3,14)</f>
        <v>46165</v>
      </c>
      <c r="H116" t="s">
        <v>36</v>
      </c>
      <c r="I116" t="s">
        <v>35</v>
      </c>
      <c r="J116" t="s">
        <v>35</v>
      </c>
      <c r="K116" t="str">
        <f>IF(AND(Claims[[#This Row],[Invoice Attached]]="Yes",Claims[[#This Row],[Serial Number Valid]]="Yes",Claims[[#This Row],[Promotion Eligible]]="Yes"),"Approved","Rejected")</f>
        <v>Rejected</v>
      </c>
      <c r="L116">
        <f>IF(Claims[[#This Row],[Validation Status]]="Approved",_xlfn.XLOOKUP(Claims[[#This Row],[Product]],Products[Product],Products[Cashback],0),0)</f>
        <v>0</v>
      </c>
      <c r="M116">
        <v>200</v>
      </c>
      <c r="N116" t="str">
        <f>IF(Claims[[#This Row],[Validation Status]]="Rejected","Cancelled",IF(MOD(Claims[[#This Row],[Sequence]],5)=0,"Pending","Paid"))</f>
        <v>Cancelled</v>
      </c>
      <c r="O116" s="2" t="str">
        <f>IF(Claims[[#This Row],[Payment Status]]="Paid",Claims[[#This Row],[Claim date]]+2+MOD(Claims[[#This Row],[Sequence]],6),"")</f>
        <v/>
      </c>
      <c r="P116" t="str">
        <f>IF(OR(Claims[[#This Row],[Payment Status]]&lt;&gt;"Paid",Claims[[#This Row],[Payment Date]]="",Claims[[#This Row],[Claim date]]=""),"",Claims[[#This Row],[Payment Date]]-Claims[[#This Row],[Claim date]])</f>
        <v/>
      </c>
    </row>
    <row r="117" spans="1:16" x14ac:dyDescent="0.25">
      <c r="A117" t="str">
        <f>"CLM-"&amp;TEXT(Claims[[#This Row],[Sequence]],"0000")</f>
        <v>CLM-0116</v>
      </c>
      <c r="B117" cm="1">
        <f t="array" ref="B117">ROW()-ROW(Claims[#Headers])</f>
        <v>116</v>
      </c>
      <c r="C117" t="s">
        <v>9</v>
      </c>
      <c r="D117" t="s">
        <v>57</v>
      </c>
      <c r="E117" t="s">
        <v>18</v>
      </c>
      <c r="F117" s="2">
        <f>DATE(2026,5,1)+MOD(Claims[[#This Row],[Sequence]]*7,61)</f>
        <v>46162</v>
      </c>
      <c r="G117" s="2">
        <f>Claims[[#This Row],[Purchase Date]]+1+MOD(Claims[[#This Row],[Sequence]]*3,14)</f>
        <v>46175</v>
      </c>
      <c r="H117" t="s">
        <v>35</v>
      </c>
      <c r="I117" t="s">
        <v>36</v>
      </c>
      <c r="J117" t="s">
        <v>36</v>
      </c>
      <c r="K117" t="str">
        <f>IF(AND(Claims[[#This Row],[Invoice Attached]]="Yes",Claims[[#This Row],[Serial Number Valid]]="Yes",Claims[[#This Row],[Promotion Eligible]]="Yes"),"Approved","Rejected")</f>
        <v>Rejected</v>
      </c>
      <c r="L117">
        <f>IF(Claims[[#This Row],[Validation Status]]="Approved",_xlfn.XLOOKUP(Claims[[#This Row],[Product]],Products[Product],Products[Cashback],0),0)</f>
        <v>0</v>
      </c>
      <c r="M117">
        <v>650</v>
      </c>
      <c r="N117" t="str">
        <f>IF(Claims[[#This Row],[Validation Status]]="Rejected","Cancelled",IF(MOD(Claims[[#This Row],[Sequence]],5)=0,"Pending","Paid"))</f>
        <v>Cancelled</v>
      </c>
      <c r="O117" s="2" t="str">
        <f>IF(Claims[[#This Row],[Payment Status]]="Paid",Claims[[#This Row],[Claim date]]+2+MOD(Claims[[#This Row],[Sequence]],6),"")</f>
        <v/>
      </c>
      <c r="P117" t="str">
        <f>IF(OR(Claims[[#This Row],[Payment Status]]&lt;&gt;"Paid",Claims[[#This Row],[Payment Date]]="",Claims[[#This Row],[Claim date]]=""),"",Claims[[#This Row],[Payment Date]]-Claims[[#This Row],[Claim date]])</f>
        <v/>
      </c>
    </row>
    <row r="118" spans="1:16" x14ac:dyDescent="0.25">
      <c r="A118" t="str">
        <f>"CLM-"&amp;TEXT(Claims[[#This Row],[Sequence]],"0000")</f>
        <v>CLM-0117</v>
      </c>
      <c r="B118" cm="1">
        <f t="array" ref="B118">ROW()-ROW(Claims[#Headers])</f>
        <v>117</v>
      </c>
      <c r="C118" t="s">
        <v>6</v>
      </c>
      <c r="D118" t="s">
        <v>58</v>
      </c>
      <c r="E118" t="s">
        <v>19</v>
      </c>
      <c r="F118" s="2">
        <f>DATE(2026,5,1)+MOD(Claims[[#This Row],[Sequence]]*7,61)</f>
        <v>46169</v>
      </c>
      <c r="G118" s="2">
        <f>Claims[[#This Row],[Purchase Date]]+1+MOD(Claims[[#This Row],[Sequence]]*3,14)</f>
        <v>46171</v>
      </c>
      <c r="H118" t="s">
        <v>35</v>
      </c>
      <c r="I118" t="s">
        <v>35</v>
      </c>
      <c r="J118" t="s">
        <v>35</v>
      </c>
      <c r="K118" t="str">
        <f>IF(AND(Claims[[#This Row],[Invoice Attached]]="Yes",Claims[[#This Row],[Serial Number Valid]]="Yes",Claims[[#This Row],[Promotion Eligible]]="Yes"),"Approved","Rejected")</f>
        <v>Approved</v>
      </c>
      <c r="L118">
        <f>IF(Claims[[#This Row],[Validation Status]]="Approved",_xlfn.XLOOKUP(Claims[[#This Row],[Product]],Products[Product],Products[Cashback],0),0)</f>
        <v>50</v>
      </c>
      <c r="M118">
        <v>1050</v>
      </c>
      <c r="N118" t="str">
        <f>IF(Claims[[#This Row],[Validation Status]]="Rejected","Cancelled",IF(MOD(Claims[[#This Row],[Sequence]],5)=0,"Pending","Paid"))</f>
        <v>Paid</v>
      </c>
      <c r="O118" s="2">
        <f>IF(Claims[[#This Row],[Payment Status]]="Paid",Claims[[#This Row],[Claim date]]+2+MOD(Claims[[#This Row],[Sequence]],6),"")</f>
        <v>46176</v>
      </c>
      <c r="P118">
        <f>IF(OR(Claims[[#This Row],[Payment Status]]&lt;&gt;"Paid",Claims[[#This Row],[Payment Date]]="",Claims[[#This Row],[Claim date]]=""),"",Claims[[#This Row],[Payment Date]]-Claims[[#This Row],[Claim date]])</f>
        <v>5</v>
      </c>
    </row>
    <row r="119" spans="1:16" x14ac:dyDescent="0.25">
      <c r="A119" t="str">
        <f>"CLM-"&amp;TEXT(Claims[[#This Row],[Sequence]],"0000")</f>
        <v>CLM-0118</v>
      </c>
      <c r="B119" cm="1">
        <f t="array" ref="B119">ROW()-ROW(Claims[#Headers])</f>
        <v>118</v>
      </c>
      <c r="C119" t="s">
        <v>7</v>
      </c>
      <c r="D119" t="s">
        <v>59</v>
      </c>
      <c r="E119" t="s">
        <v>20</v>
      </c>
      <c r="F119" s="2">
        <f>DATE(2026,5,1)+MOD(Claims[[#This Row],[Sequence]]*7,61)</f>
        <v>46176</v>
      </c>
      <c r="G119" s="2">
        <f>Claims[[#This Row],[Purchase Date]]+1+MOD(Claims[[#This Row],[Sequence]]*3,14)</f>
        <v>46181</v>
      </c>
      <c r="H119" t="s">
        <v>35</v>
      </c>
      <c r="I119" t="s">
        <v>35</v>
      </c>
      <c r="J119" t="s">
        <v>35</v>
      </c>
      <c r="K119" t="str">
        <f>IF(AND(Claims[[#This Row],[Invoice Attached]]="Yes",Claims[[#This Row],[Serial Number Valid]]="Yes",Claims[[#This Row],[Promotion Eligible]]="Yes"),"Approved","Rejected")</f>
        <v>Approved</v>
      </c>
      <c r="L119">
        <f>IF(Claims[[#This Row],[Validation Status]]="Approved",_xlfn.XLOOKUP(Claims[[#This Row],[Product]],Products[Product],Products[Cashback],0),0)</f>
        <v>70</v>
      </c>
      <c r="M119">
        <v>220</v>
      </c>
      <c r="N119" t="str">
        <f>IF(Claims[[#This Row],[Validation Status]]="Rejected","Cancelled",IF(MOD(Claims[[#This Row],[Sequence]],5)=0,"Pending","Paid"))</f>
        <v>Paid</v>
      </c>
      <c r="O119" s="2">
        <f>IF(Claims[[#This Row],[Payment Status]]="Paid",Claims[[#This Row],[Claim date]]+2+MOD(Claims[[#This Row],[Sequence]],6),"")</f>
        <v>46187</v>
      </c>
      <c r="P119">
        <f>IF(OR(Claims[[#This Row],[Payment Status]]&lt;&gt;"Paid",Claims[[#This Row],[Payment Date]]="",Claims[[#This Row],[Claim date]]=""),"",Claims[[#This Row],[Payment Date]]-Claims[[#This Row],[Claim date]])</f>
        <v>6</v>
      </c>
    </row>
    <row r="120" spans="1:16" x14ac:dyDescent="0.25">
      <c r="A120" t="str">
        <f>"CLM-"&amp;TEXT(Claims[[#This Row],[Sequence]],"0000")</f>
        <v>CLM-0119</v>
      </c>
      <c r="B120" cm="1">
        <f t="array" ref="B120">ROW()-ROW(Claims[#Headers])</f>
        <v>119</v>
      </c>
      <c r="C120" t="s">
        <v>9</v>
      </c>
      <c r="D120" t="s">
        <v>60</v>
      </c>
      <c r="E120" t="s">
        <v>8</v>
      </c>
      <c r="F120" s="2">
        <f>DATE(2026,5,1)+MOD(Claims[[#This Row],[Sequence]]*7,61)</f>
        <v>46183</v>
      </c>
      <c r="G120" s="2">
        <f>Claims[[#This Row],[Purchase Date]]+1+MOD(Claims[[#This Row],[Sequence]]*3,14)</f>
        <v>46191</v>
      </c>
      <c r="H120" t="s">
        <v>36</v>
      </c>
      <c r="I120" t="s">
        <v>35</v>
      </c>
      <c r="J120" t="s">
        <v>36</v>
      </c>
      <c r="K120" t="str">
        <f>IF(AND(Claims[[#This Row],[Invoice Attached]]="Yes",Claims[[#This Row],[Serial Number Valid]]="Yes",Claims[[#This Row],[Promotion Eligible]]="Yes"),"Approved","Rejected")</f>
        <v>Rejected</v>
      </c>
      <c r="L120">
        <f>IF(Claims[[#This Row],[Validation Status]]="Approved",_xlfn.XLOOKUP(Claims[[#This Row],[Product]],Products[Product],Products[Cashback],0),0)</f>
        <v>0</v>
      </c>
      <c r="M120">
        <v>1000</v>
      </c>
      <c r="N120" t="str">
        <f>IF(Claims[[#This Row],[Validation Status]]="Rejected","Cancelled",IF(MOD(Claims[[#This Row],[Sequence]],5)=0,"Pending","Paid"))</f>
        <v>Cancelled</v>
      </c>
      <c r="O120" s="2" t="str">
        <f>IF(Claims[[#This Row],[Payment Status]]="Paid",Claims[[#This Row],[Claim date]]+2+MOD(Claims[[#This Row],[Sequence]],6),"")</f>
        <v/>
      </c>
      <c r="P120" t="str">
        <f>IF(OR(Claims[[#This Row],[Payment Status]]&lt;&gt;"Paid",Claims[[#This Row],[Payment Date]]="",Claims[[#This Row],[Claim date]]=""),"",Claims[[#This Row],[Payment Date]]-Claims[[#This Row],[Claim date]])</f>
        <v/>
      </c>
    </row>
    <row r="121" spans="1:16" x14ac:dyDescent="0.25">
      <c r="A121" t="str">
        <f>"CLM-"&amp;TEXT(Claims[[#This Row],[Sequence]],"0000")</f>
        <v>CLM-0120</v>
      </c>
      <c r="B121" cm="1">
        <f t="array" ref="B121">ROW()-ROW(Claims[#Headers])</f>
        <v>120</v>
      </c>
      <c r="C121" t="s">
        <v>6</v>
      </c>
      <c r="D121" t="s">
        <v>61</v>
      </c>
      <c r="E121" t="s">
        <v>21</v>
      </c>
      <c r="F121" s="2">
        <f>DATE(2026,5,1)+MOD(Claims[[#This Row],[Sequence]]*7,61)</f>
        <v>46190</v>
      </c>
      <c r="G121" s="2">
        <f>Claims[[#This Row],[Purchase Date]]+1+MOD(Claims[[#This Row],[Sequence]]*3,14)</f>
        <v>46201</v>
      </c>
      <c r="H121" t="s">
        <v>36</v>
      </c>
      <c r="I121" t="s">
        <v>36</v>
      </c>
      <c r="J121" t="s">
        <v>36</v>
      </c>
      <c r="K121" t="str">
        <f>IF(AND(Claims[[#This Row],[Invoice Attached]]="Yes",Claims[[#This Row],[Serial Number Valid]]="Yes",Claims[[#This Row],[Promotion Eligible]]="Yes"),"Approved","Rejected")</f>
        <v>Rejected</v>
      </c>
      <c r="L121">
        <f>IF(Claims[[#This Row],[Validation Status]]="Approved",_xlfn.XLOOKUP(Claims[[#This Row],[Product]],Products[Product],Products[Cashback],0),0)</f>
        <v>0</v>
      </c>
      <c r="M121">
        <v>600</v>
      </c>
      <c r="N121" t="str">
        <f>IF(Claims[[#This Row],[Validation Status]]="Rejected","Cancelled",IF(MOD(Claims[[#This Row],[Sequence]],5)=0,"Pending","Paid"))</f>
        <v>Cancelled</v>
      </c>
      <c r="O121" s="2" t="str">
        <f>IF(Claims[[#This Row],[Payment Status]]="Paid",Claims[[#This Row],[Claim date]]+2+MOD(Claims[[#This Row],[Sequence]],6),"")</f>
        <v/>
      </c>
      <c r="P121" t="str">
        <f>IF(OR(Claims[[#This Row],[Payment Status]]&lt;&gt;"Paid",Claims[[#This Row],[Payment Date]]="",Claims[[#This Row],[Claim date]]=""),"",Claims[[#This Row],[Payment Date]]-Claims[[#This Row],[Claim date]])</f>
        <v/>
      </c>
    </row>
    <row r="122" spans="1:16" x14ac:dyDescent="0.25">
      <c r="A122" t="str">
        <f>"CLM-"&amp;TEXT(Claims[[#This Row],[Sequence]],"0000")</f>
        <v>CLM-0121</v>
      </c>
      <c r="B122" cm="1">
        <f t="array" ref="B122">ROW()-ROW(Claims[#Headers])</f>
        <v>121</v>
      </c>
      <c r="C122" t="s">
        <v>6</v>
      </c>
      <c r="D122" t="s">
        <v>57</v>
      </c>
      <c r="E122" t="s">
        <v>15</v>
      </c>
      <c r="F122" s="2">
        <f>DATE(2026,5,1)+MOD(Claims[[#This Row],[Sequence]]*7,61)</f>
        <v>46197</v>
      </c>
      <c r="G122" s="2">
        <f>Claims[[#This Row],[Purchase Date]]+1+MOD(Claims[[#This Row],[Sequence]]*3,14)</f>
        <v>46211</v>
      </c>
      <c r="H122" t="s">
        <v>35</v>
      </c>
      <c r="I122" t="s">
        <v>35</v>
      </c>
      <c r="J122" t="s">
        <v>35</v>
      </c>
      <c r="K122" t="str">
        <f>IF(AND(Claims[[#This Row],[Invoice Attached]]="Yes",Claims[[#This Row],[Serial Number Valid]]="Yes",Claims[[#This Row],[Promotion Eligible]]="Yes"),"Approved","Rejected")</f>
        <v>Approved</v>
      </c>
      <c r="L122">
        <f>IF(Claims[[#This Row],[Validation Status]]="Approved",_xlfn.XLOOKUP(Claims[[#This Row],[Product]],Products[Product],Products[Cashback],0),0)</f>
        <v>150</v>
      </c>
      <c r="M122">
        <v>1000</v>
      </c>
      <c r="N122" t="str">
        <f>IF(Claims[[#This Row],[Validation Status]]="Rejected","Cancelled",IF(MOD(Claims[[#This Row],[Sequence]],5)=0,"Pending","Paid"))</f>
        <v>Paid</v>
      </c>
      <c r="O122" s="2">
        <f>IF(Claims[[#This Row],[Payment Status]]="Paid",Claims[[#This Row],[Claim date]]+2+MOD(Claims[[#This Row],[Sequence]],6),"")</f>
        <v>46214</v>
      </c>
      <c r="P122">
        <f>IF(OR(Claims[[#This Row],[Payment Status]]&lt;&gt;"Paid",Claims[[#This Row],[Payment Date]]="",Claims[[#This Row],[Claim date]]=""),"",Claims[[#This Row],[Payment Date]]-Claims[[#This Row],[Claim date]])</f>
        <v>3</v>
      </c>
    </row>
    <row r="123" spans="1:16" x14ac:dyDescent="0.25">
      <c r="A123" t="str">
        <f>"CLM-"&amp;TEXT(Claims[[#This Row],[Sequence]],"0000")</f>
        <v>CLM-0122</v>
      </c>
      <c r="B123" cm="1">
        <f t="array" ref="B123">ROW()-ROW(Claims[#Headers])</f>
        <v>122</v>
      </c>
      <c r="C123" t="s">
        <v>7</v>
      </c>
      <c r="D123" t="s">
        <v>58</v>
      </c>
      <c r="E123" t="s">
        <v>16</v>
      </c>
      <c r="F123" s="2">
        <f>DATE(2026,5,1)+MOD(Claims[[#This Row],[Sequence]]*7,61)</f>
        <v>46143</v>
      </c>
      <c r="G123" s="2">
        <f>Claims[[#This Row],[Purchase Date]]+1+MOD(Claims[[#This Row],[Sequence]]*3,14)</f>
        <v>46146</v>
      </c>
      <c r="H123" t="s">
        <v>36</v>
      </c>
      <c r="I123" t="s">
        <v>35</v>
      </c>
      <c r="J123" t="s">
        <v>36</v>
      </c>
      <c r="K123" t="str">
        <f>IF(AND(Claims[[#This Row],[Invoice Attached]]="Yes",Claims[[#This Row],[Serial Number Valid]]="Yes",Claims[[#This Row],[Promotion Eligible]]="Yes"),"Approved","Rejected")</f>
        <v>Rejected</v>
      </c>
      <c r="L123">
        <f>IF(Claims[[#This Row],[Validation Status]]="Approved",_xlfn.XLOOKUP(Claims[[#This Row],[Product]],Products[Product],Products[Cashback],0),0)</f>
        <v>0</v>
      </c>
      <c r="M123">
        <v>600</v>
      </c>
      <c r="N123" t="str">
        <f>IF(Claims[[#This Row],[Validation Status]]="Rejected","Cancelled",IF(MOD(Claims[[#This Row],[Sequence]],5)=0,"Pending","Paid"))</f>
        <v>Cancelled</v>
      </c>
      <c r="O123" s="2" t="str">
        <f>IF(Claims[[#This Row],[Payment Status]]="Paid",Claims[[#This Row],[Claim date]]+2+MOD(Claims[[#This Row],[Sequence]],6),"")</f>
        <v/>
      </c>
      <c r="P123" t="str">
        <f>IF(OR(Claims[[#This Row],[Payment Status]]&lt;&gt;"Paid",Claims[[#This Row],[Payment Date]]="",Claims[[#This Row],[Claim date]]=""),"",Claims[[#This Row],[Payment Date]]-Claims[[#This Row],[Claim date]])</f>
        <v/>
      </c>
    </row>
    <row r="124" spans="1:16" x14ac:dyDescent="0.25">
      <c r="A124" t="str">
        <f>"CLM-"&amp;TEXT(Claims[[#This Row],[Sequence]],"0000")</f>
        <v>CLM-0123</v>
      </c>
      <c r="B124" cm="1">
        <f t="array" ref="B124">ROW()-ROW(Claims[#Headers])</f>
        <v>123</v>
      </c>
      <c r="C124" t="s">
        <v>9</v>
      </c>
      <c r="D124" t="s">
        <v>59</v>
      </c>
      <c r="E124" t="s">
        <v>17</v>
      </c>
      <c r="F124" s="2">
        <f>DATE(2026,5,1)+MOD(Claims[[#This Row],[Sequence]]*7,61)</f>
        <v>46150</v>
      </c>
      <c r="G124" s="2">
        <f>Claims[[#This Row],[Purchase Date]]+1+MOD(Claims[[#This Row],[Sequence]]*3,14)</f>
        <v>46156</v>
      </c>
      <c r="H124" t="s">
        <v>35</v>
      </c>
      <c r="I124" t="s">
        <v>36</v>
      </c>
      <c r="J124" t="s">
        <v>35</v>
      </c>
      <c r="K124" t="str">
        <f>IF(AND(Claims[[#This Row],[Invoice Attached]]="Yes",Claims[[#This Row],[Serial Number Valid]]="Yes",Claims[[#This Row],[Promotion Eligible]]="Yes"),"Approved","Rejected")</f>
        <v>Rejected</v>
      </c>
      <c r="L124">
        <f>IF(Claims[[#This Row],[Validation Status]]="Approved",_xlfn.XLOOKUP(Claims[[#This Row],[Product]],Products[Product],Products[Cashback],0),0)</f>
        <v>0</v>
      </c>
      <c r="M124">
        <v>1100</v>
      </c>
      <c r="N124" t="str">
        <f>IF(Claims[[#This Row],[Validation Status]]="Rejected","Cancelled",IF(MOD(Claims[[#This Row],[Sequence]],5)=0,"Pending","Paid"))</f>
        <v>Cancelled</v>
      </c>
      <c r="O124" s="2" t="str">
        <f>IF(Claims[[#This Row],[Payment Status]]="Paid",Claims[[#This Row],[Claim date]]+2+MOD(Claims[[#This Row],[Sequence]],6),"")</f>
        <v/>
      </c>
      <c r="P124" t="str">
        <f>IF(OR(Claims[[#This Row],[Payment Status]]&lt;&gt;"Paid",Claims[[#This Row],[Payment Date]]="",Claims[[#This Row],[Claim date]]=""),"",Claims[[#This Row],[Payment Date]]-Claims[[#This Row],[Claim date]])</f>
        <v/>
      </c>
    </row>
    <row r="125" spans="1:16" x14ac:dyDescent="0.25">
      <c r="A125" t="str">
        <f>"CLM-"&amp;TEXT(Claims[[#This Row],[Sequence]],"0000")</f>
        <v>CLM-0124</v>
      </c>
      <c r="B125" cm="1">
        <f t="array" ref="B125">ROW()-ROW(Claims[#Headers])</f>
        <v>124</v>
      </c>
      <c r="C125" t="s">
        <v>6</v>
      </c>
      <c r="D125" t="s">
        <v>60</v>
      </c>
      <c r="E125" t="s">
        <v>18</v>
      </c>
      <c r="F125" s="2">
        <f>DATE(2026,5,1)+MOD(Claims[[#This Row],[Sequence]]*7,61)</f>
        <v>46157</v>
      </c>
      <c r="G125" s="2">
        <f>Claims[[#This Row],[Purchase Date]]+1+MOD(Claims[[#This Row],[Sequence]]*3,14)</f>
        <v>46166</v>
      </c>
      <c r="H125" t="s">
        <v>35</v>
      </c>
      <c r="I125" t="s">
        <v>35</v>
      </c>
      <c r="J125" t="s">
        <v>35</v>
      </c>
      <c r="K125" t="str">
        <f>IF(AND(Claims[[#This Row],[Invoice Attached]]="Yes",Claims[[#This Row],[Serial Number Valid]]="Yes",Claims[[#This Row],[Promotion Eligible]]="Yes"),"Approved","Rejected")</f>
        <v>Approved</v>
      </c>
      <c r="L125">
        <f>IF(Claims[[#This Row],[Validation Status]]="Approved",_xlfn.XLOOKUP(Claims[[#This Row],[Product]],Products[Product],Products[Cashback],0),0)</f>
        <v>60</v>
      </c>
      <c r="M125">
        <v>1000</v>
      </c>
      <c r="N125" t="str">
        <f>IF(Claims[[#This Row],[Validation Status]]="Rejected","Cancelled",IF(MOD(Claims[[#This Row],[Sequence]],5)=0,"Pending","Paid"))</f>
        <v>Paid</v>
      </c>
      <c r="O125" s="2">
        <f>IF(Claims[[#This Row],[Payment Status]]="Paid",Claims[[#This Row],[Claim date]]+2+MOD(Claims[[#This Row],[Sequence]],6),"")</f>
        <v>46172</v>
      </c>
      <c r="P125">
        <f>IF(OR(Claims[[#This Row],[Payment Status]]&lt;&gt;"Paid",Claims[[#This Row],[Payment Date]]="",Claims[[#This Row],[Claim date]]=""),"",Claims[[#This Row],[Payment Date]]-Claims[[#This Row],[Claim date]])</f>
        <v>6</v>
      </c>
    </row>
    <row r="126" spans="1:16" x14ac:dyDescent="0.25">
      <c r="A126" t="str">
        <f>"CLM-"&amp;TEXT(Claims[[#This Row],[Sequence]],"0000")</f>
        <v>CLM-0125</v>
      </c>
      <c r="B126" cm="1">
        <f t="array" ref="B126">ROW()-ROW(Claims[#Headers])</f>
        <v>125</v>
      </c>
      <c r="C126" t="s">
        <v>7</v>
      </c>
      <c r="D126" t="s">
        <v>61</v>
      </c>
      <c r="E126" t="s">
        <v>19</v>
      </c>
      <c r="F126" s="2">
        <f>DATE(2026,5,1)+MOD(Claims[[#This Row],[Sequence]]*7,61)</f>
        <v>46164</v>
      </c>
      <c r="G126" s="2">
        <f>Claims[[#This Row],[Purchase Date]]+1+MOD(Claims[[#This Row],[Sequence]]*3,14)</f>
        <v>46176</v>
      </c>
      <c r="H126" t="s">
        <v>36</v>
      </c>
      <c r="I126" t="s">
        <v>35</v>
      </c>
      <c r="J126" t="s">
        <v>35</v>
      </c>
      <c r="K126" t="str">
        <f>IF(AND(Claims[[#This Row],[Invoice Attached]]="Yes",Claims[[#This Row],[Serial Number Valid]]="Yes",Claims[[#This Row],[Promotion Eligible]]="Yes"),"Approved","Rejected")</f>
        <v>Rejected</v>
      </c>
      <c r="L126">
        <f>IF(Claims[[#This Row],[Validation Status]]="Approved",_xlfn.XLOOKUP(Claims[[#This Row],[Product]],Products[Product],Products[Cashback],0),0)</f>
        <v>0</v>
      </c>
      <c r="M126">
        <v>200</v>
      </c>
      <c r="N126" t="str">
        <f>IF(Claims[[#This Row],[Validation Status]]="Rejected","Cancelled",IF(MOD(Claims[[#This Row],[Sequence]],5)=0,"Pending","Paid"))</f>
        <v>Cancelled</v>
      </c>
      <c r="O126" s="2" t="str">
        <f>IF(Claims[[#This Row],[Payment Status]]="Paid",Claims[[#This Row],[Claim date]]+2+MOD(Claims[[#This Row],[Sequence]],6),"")</f>
        <v/>
      </c>
      <c r="P126" t="str">
        <f>IF(OR(Claims[[#This Row],[Payment Status]]&lt;&gt;"Paid",Claims[[#This Row],[Payment Date]]="",Claims[[#This Row],[Claim date]]=""),"",Claims[[#This Row],[Payment Date]]-Claims[[#This Row],[Claim date]])</f>
        <v/>
      </c>
    </row>
    <row r="127" spans="1:16" x14ac:dyDescent="0.25">
      <c r="A127" t="str">
        <f>"CLM-"&amp;TEXT(Claims[[#This Row],[Sequence]],"0000")</f>
        <v>CLM-0126</v>
      </c>
      <c r="B127" cm="1">
        <f t="array" ref="B127">ROW()-ROW(Claims[#Headers])</f>
        <v>126</v>
      </c>
      <c r="C127" t="s">
        <v>9</v>
      </c>
      <c r="D127" t="s">
        <v>57</v>
      </c>
      <c r="E127" t="s">
        <v>20</v>
      </c>
      <c r="F127" s="2">
        <f>DATE(2026,5,1)+MOD(Claims[[#This Row],[Sequence]]*7,61)</f>
        <v>46171</v>
      </c>
      <c r="G127" s="2">
        <f>Claims[[#This Row],[Purchase Date]]+1+MOD(Claims[[#This Row],[Sequence]]*3,14)</f>
        <v>46172</v>
      </c>
      <c r="H127" t="s">
        <v>35</v>
      </c>
      <c r="I127" t="s">
        <v>36</v>
      </c>
      <c r="J127" t="s">
        <v>36</v>
      </c>
      <c r="K127" t="str">
        <f>IF(AND(Claims[[#This Row],[Invoice Attached]]="Yes",Claims[[#This Row],[Serial Number Valid]]="Yes",Claims[[#This Row],[Promotion Eligible]]="Yes"),"Approved","Rejected")</f>
        <v>Rejected</v>
      </c>
      <c r="L127">
        <f>IF(Claims[[#This Row],[Validation Status]]="Approved",_xlfn.XLOOKUP(Claims[[#This Row],[Product]],Products[Product],Products[Cashback],0),0)</f>
        <v>0</v>
      </c>
      <c r="M127">
        <v>650</v>
      </c>
      <c r="N127" t="str">
        <f>IF(Claims[[#This Row],[Validation Status]]="Rejected","Cancelled",IF(MOD(Claims[[#This Row],[Sequence]],5)=0,"Pending","Paid"))</f>
        <v>Cancelled</v>
      </c>
      <c r="O127" s="2" t="str">
        <f>IF(Claims[[#This Row],[Payment Status]]="Paid",Claims[[#This Row],[Claim date]]+2+MOD(Claims[[#This Row],[Sequence]],6),"")</f>
        <v/>
      </c>
      <c r="P127" t="str">
        <f>IF(OR(Claims[[#This Row],[Payment Status]]&lt;&gt;"Paid",Claims[[#This Row],[Payment Date]]="",Claims[[#This Row],[Claim date]]=""),"",Claims[[#This Row],[Payment Date]]-Claims[[#This Row],[Claim date]])</f>
        <v/>
      </c>
    </row>
    <row r="128" spans="1:16" x14ac:dyDescent="0.25">
      <c r="A128" t="str">
        <f>"CLM-"&amp;TEXT(Claims[[#This Row],[Sequence]],"0000")</f>
        <v>CLM-0127</v>
      </c>
      <c r="B128" cm="1">
        <f t="array" ref="B128">ROW()-ROW(Claims[#Headers])</f>
        <v>127</v>
      </c>
      <c r="C128" t="s">
        <v>6</v>
      </c>
      <c r="D128" t="s">
        <v>58</v>
      </c>
      <c r="E128" t="s">
        <v>8</v>
      </c>
      <c r="F128" s="2">
        <f>DATE(2026,5,1)+MOD(Claims[[#This Row],[Sequence]]*7,61)</f>
        <v>46178</v>
      </c>
      <c r="G128" s="2">
        <f>Claims[[#This Row],[Purchase Date]]+1+MOD(Claims[[#This Row],[Sequence]]*3,14)</f>
        <v>46182</v>
      </c>
      <c r="H128" t="s">
        <v>35</v>
      </c>
      <c r="I128" t="s">
        <v>35</v>
      </c>
      <c r="J128" t="s">
        <v>35</v>
      </c>
      <c r="K128" t="str">
        <f>IF(AND(Claims[[#This Row],[Invoice Attached]]="Yes",Claims[[#This Row],[Serial Number Valid]]="Yes",Claims[[#This Row],[Promotion Eligible]]="Yes"),"Approved","Rejected")</f>
        <v>Approved</v>
      </c>
      <c r="L128">
        <f>IF(Claims[[#This Row],[Validation Status]]="Approved",_xlfn.XLOOKUP(Claims[[#This Row],[Product]],Products[Product],Products[Cashback],0),0)</f>
        <v>120</v>
      </c>
      <c r="M128">
        <v>1050</v>
      </c>
      <c r="N128" t="str">
        <f>IF(Claims[[#This Row],[Validation Status]]="Rejected","Cancelled",IF(MOD(Claims[[#This Row],[Sequence]],5)=0,"Pending","Paid"))</f>
        <v>Paid</v>
      </c>
      <c r="O128" s="2">
        <f>IF(Claims[[#This Row],[Payment Status]]="Paid",Claims[[#This Row],[Claim date]]+2+MOD(Claims[[#This Row],[Sequence]],6),"")</f>
        <v>46185</v>
      </c>
      <c r="P128">
        <f>IF(OR(Claims[[#This Row],[Payment Status]]&lt;&gt;"Paid",Claims[[#This Row],[Payment Date]]="",Claims[[#This Row],[Claim date]]=""),"",Claims[[#This Row],[Payment Date]]-Claims[[#This Row],[Claim date]])</f>
        <v>3</v>
      </c>
    </row>
    <row r="129" spans="1:16" x14ac:dyDescent="0.25">
      <c r="A129" t="str">
        <f>"CLM-"&amp;TEXT(Claims[[#This Row],[Sequence]],"0000")</f>
        <v>CLM-0128</v>
      </c>
      <c r="B129" cm="1">
        <f t="array" ref="B129">ROW()-ROW(Claims[#Headers])</f>
        <v>128</v>
      </c>
      <c r="C129" t="s">
        <v>7</v>
      </c>
      <c r="D129" t="s">
        <v>59</v>
      </c>
      <c r="E129" t="s">
        <v>21</v>
      </c>
      <c r="F129" s="2">
        <f>DATE(2026,5,1)+MOD(Claims[[#This Row],[Sequence]]*7,61)</f>
        <v>46185</v>
      </c>
      <c r="G129" s="2">
        <f>Claims[[#This Row],[Purchase Date]]+1+MOD(Claims[[#This Row],[Sequence]]*3,14)</f>
        <v>46192</v>
      </c>
      <c r="H129" t="s">
        <v>35</v>
      </c>
      <c r="I129" t="s">
        <v>35</v>
      </c>
      <c r="J129" t="s">
        <v>35</v>
      </c>
      <c r="K129" t="str">
        <f>IF(AND(Claims[[#This Row],[Invoice Attached]]="Yes",Claims[[#This Row],[Serial Number Valid]]="Yes",Claims[[#This Row],[Promotion Eligible]]="Yes"),"Approved","Rejected")</f>
        <v>Approved</v>
      </c>
      <c r="L129">
        <f>IF(Claims[[#This Row],[Validation Status]]="Approved",_xlfn.XLOOKUP(Claims[[#This Row],[Product]],Products[Product],Products[Cashback],0),0)</f>
        <v>250</v>
      </c>
      <c r="M129">
        <v>220</v>
      </c>
      <c r="N129" t="str">
        <f>IF(Claims[[#This Row],[Validation Status]]="Rejected","Cancelled",IF(MOD(Claims[[#This Row],[Sequence]],5)=0,"Pending","Paid"))</f>
        <v>Paid</v>
      </c>
      <c r="O129" s="2">
        <f>IF(Claims[[#This Row],[Payment Status]]="Paid",Claims[[#This Row],[Claim date]]+2+MOD(Claims[[#This Row],[Sequence]],6),"")</f>
        <v>46196</v>
      </c>
      <c r="P129">
        <f>IF(OR(Claims[[#This Row],[Payment Status]]&lt;&gt;"Paid",Claims[[#This Row],[Payment Date]]="",Claims[[#This Row],[Claim date]]=""),"",Claims[[#This Row],[Payment Date]]-Claims[[#This Row],[Claim date]])</f>
        <v>4</v>
      </c>
    </row>
    <row r="130" spans="1:16" x14ac:dyDescent="0.25">
      <c r="A130" t="str">
        <f>"CLM-"&amp;TEXT(Claims[[#This Row],[Sequence]],"0000")</f>
        <v>CLM-0129</v>
      </c>
      <c r="B130" cm="1">
        <f t="array" ref="B130">ROW()-ROW(Claims[#Headers])</f>
        <v>129</v>
      </c>
      <c r="C130" t="s">
        <v>9</v>
      </c>
      <c r="D130" t="s">
        <v>60</v>
      </c>
      <c r="E130" t="s">
        <v>15</v>
      </c>
      <c r="F130" s="2">
        <f>DATE(2026,5,1)+MOD(Claims[[#This Row],[Sequence]]*7,61)</f>
        <v>46192</v>
      </c>
      <c r="G130" s="2">
        <f>Claims[[#This Row],[Purchase Date]]+1+MOD(Claims[[#This Row],[Sequence]]*3,14)</f>
        <v>46202</v>
      </c>
      <c r="H130" t="s">
        <v>36</v>
      </c>
      <c r="I130" t="s">
        <v>35</v>
      </c>
      <c r="J130" t="s">
        <v>36</v>
      </c>
      <c r="K130" t="str">
        <f>IF(AND(Claims[[#This Row],[Invoice Attached]]="Yes",Claims[[#This Row],[Serial Number Valid]]="Yes",Claims[[#This Row],[Promotion Eligible]]="Yes"),"Approved","Rejected")</f>
        <v>Rejected</v>
      </c>
      <c r="L130">
        <f>IF(Claims[[#This Row],[Validation Status]]="Approved",_xlfn.XLOOKUP(Claims[[#This Row],[Product]],Products[Product],Products[Cashback],0),0)</f>
        <v>0</v>
      </c>
      <c r="M130">
        <v>1000</v>
      </c>
      <c r="N130" t="str">
        <f>IF(Claims[[#This Row],[Validation Status]]="Rejected","Cancelled",IF(MOD(Claims[[#This Row],[Sequence]],5)=0,"Pending","Paid"))</f>
        <v>Cancelled</v>
      </c>
      <c r="O130" s="2" t="str">
        <f>IF(Claims[[#This Row],[Payment Status]]="Paid",Claims[[#This Row],[Claim date]]+2+MOD(Claims[[#This Row],[Sequence]],6),"")</f>
        <v/>
      </c>
      <c r="P130" t="str">
        <f>IF(OR(Claims[[#This Row],[Payment Status]]&lt;&gt;"Paid",Claims[[#This Row],[Payment Date]]="",Claims[[#This Row],[Claim date]]=""),"",Claims[[#This Row],[Payment Date]]-Claims[[#This Row],[Claim date]])</f>
        <v/>
      </c>
    </row>
    <row r="131" spans="1:16" x14ac:dyDescent="0.25">
      <c r="A131" t="str">
        <f>"CLM-"&amp;TEXT(Claims[[#This Row],[Sequence]],"0000")</f>
        <v>CLM-0130</v>
      </c>
      <c r="B131" cm="1">
        <f t="array" ref="B131">ROW()-ROW(Claims[#Headers])</f>
        <v>130</v>
      </c>
      <c r="C131" t="s">
        <v>6</v>
      </c>
      <c r="D131" t="s">
        <v>61</v>
      </c>
      <c r="E131" t="s">
        <v>16</v>
      </c>
      <c r="F131" s="2">
        <f>DATE(2026,5,1)+MOD(Claims[[#This Row],[Sequence]]*7,61)</f>
        <v>46199</v>
      </c>
      <c r="G131" s="2">
        <f>Claims[[#This Row],[Purchase Date]]+1+MOD(Claims[[#This Row],[Sequence]]*3,14)</f>
        <v>46212</v>
      </c>
      <c r="H131" t="s">
        <v>36</v>
      </c>
      <c r="I131" t="s">
        <v>36</v>
      </c>
      <c r="J131" t="s">
        <v>36</v>
      </c>
      <c r="K131" t="str">
        <f>IF(AND(Claims[[#This Row],[Invoice Attached]]="Yes",Claims[[#This Row],[Serial Number Valid]]="Yes",Claims[[#This Row],[Promotion Eligible]]="Yes"),"Approved","Rejected")</f>
        <v>Rejected</v>
      </c>
      <c r="L131">
        <f>IF(Claims[[#This Row],[Validation Status]]="Approved",_xlfn.XLOOKUP(Claims[[#This Row],[Product]],Products[Product],Products[Cashback],0),0)</f>
        <v>0</v>
      </c>
      <c r="M131">
        <v>600</v>
      </c>
      <c r="N131" t="str">
        <f>IF(Claims[[#This Row],[Validation Status]]="Rejected","Cancelled",IF(MOD(Claims[[#This Row],[Sequence]],5)=0,"Pending","Paid"))</f>
        <v>Cancelled</v>
      </c>
      <c r="O131" s="2" t="str">
        <f>IF(Claims[[#This Row],[Payment Status]]="Paid",Claims[[#This Row],[Claim date]]+2+MOD(Claims[[#This Row],[Sequence]],6),"")</f>
        <v/>
      </c>
      <c r="P131" t="str">
        <f>IF(OR(Claims[[#This Row],[Payment Status]]&lt;&gt;"Paid",Claims[[#This Row],[Payment Date]]="",Claims[[#This Row],[Claim date]]=""),"",Claims[[#This Row],[Payment Date]]-Claims[[#This Row],[Claim date]])</f>
        <v/>
      </c>
    </row>
    <row r="132" spans="1:16" x14ac:dyDescent="0.25">
      <c r="A132" t="str">
        <f>"CLM-"&amp;TEXT(Claims[[#This Row],[Sequence]],"0000")</f>
        <v>CLM-0131</v>
      </c>
      <c r="B132" cm="1">
        <f t="array" ref="B132">ROW()-ROW(Claims[#Headers])</f>
        <v>131</v>
      </c>
      <c r="C132" t="s">
        <v>6</v>
      </c>
      <c r="D132" t="s">
        <v>57</v>
      </c>
      <c r="E132" t="s">
        <v>17</v>
      </c>
      <c r="F132" s="2">
        <f>DATE(2026,5,1)+MOD(Claims[[#This Row],[Sequence]]*7,61)</f>
        <v>46145</v>
      </c>
      <c r="G132" s="2">
        <f>Claims[[#This Row],[Purchase Date]]+1+MOD(Claims[[#This Row],[Sequence]]*3,14)</f>
        <v>46147</v>
      </c>
      <c r="H132" t="s">
        <v>35</v>
      </c>
      <c r="I132" t="s">
        <v>35</v>
      </c>
      <c r="J132" t="s">
        <v>35</v>
      </c>
      <c r="K132" t="str">
        <f>IF(AND(Claims[[#This Row],[Invoice Attached]]="Yes",Claims[[#This Row],[Serial Number Valid]]="Yes",Claims[[#This Row],[Promotion Eligible]]="Yes"),"Approved","Rejected")</f>
        <v>Approved</v>
      </c>
      <c r="L132">
        <f>IF(Claims[[#This Row],[Validation Status]]="Approved",_xlfn.XLOOKUP(Claims[[#This Row],[Product]],Products[Product],Products[Cashback],0),0)</f>
        <v>80</v>
      </c>
      <c r="M132">
        <v>1000</v>
      </c>
      <c r="N132" t="str">
        <f>IF(Claims[[#This Row],[Validation Status]]="Rejected","Cancelled",IF(MOD(Claims[[#This Row],[Sequence]],5)=0,"Pending","Paid"))</f>
        <v>Paid</v>
      </c>
      <c r="O132" s="2">
        <f>IF(Claims[[#This Row],[Payment Status]]="Paid",Claims[[#This Row],[Claim date]]+2+MOD(Claims[[#This Row],[Sequence]],6),"")</f>
        <v>46154</v>
      </c>
      <c r="P132">
        <f>IF(OR(Claims[[#This Row],[Payment Status]]&lt;&gt;"Paid",Claims[[#This Row],[Payment Date]]="",Claims[[#This Row],[Claim date]]=""),"",Claims[[#This Row],[Payment Date]]-Claims[[#This Row],[Claim date]])</f>
        <v>7</v>
      </c>
    </row>
    <row r="133" spans="1:16" x14ac:dyDescent="0.25">
      <c r="A133" t="str">
        <f>"CLM-"&amp;TEXT(Claims[[#This Row],[Sequence]],"0000")</f>
        <v>CLM-0132</v>
      </c>
      <c r="B133" cm="1">
        <f t="array" ref="B133">ROW()-ROW(Claims[#Headers])</f>
        <v>132</v>
      </c>
      <c r="C133" t="s">
        <v>7</v>
      </c>
      <c r="D133" t="s">
        <v>58</v>
      </c>
      <c r="E133" t="s">
        <v>18</v>
      </c>
      <c r="F133" s="2">
        <f>DATE(2026,5,1)+MOD(Claims[[#This Row],[Sequence]]*7,61)</f>
        <v>46152</v>
      </c>
      <c r="G133" s="2">
        <f>Claims[[#This Row],[Purchase Date]]+1+MOD(Claims[[#This Row],[Sequence]]*3,14)</f>
        <v>46157</v>
      </c>
      <c r="H133" t="s">
        <v>36</v>
      </c>
      <c r="I133" t="s">
        <v>35</v>
      </c>
      <c r="J133" t="s">
        <v>36</v>
      </c>
      <c r="K133" t="str">
        <f>IF(AND(Claims[[#This Row],[Invoice Attached]]="Yes",Claims[[#This Row],[Serial Number Valid]]="Yes",Claims[[#This Row],[Promotion Eligible]]="Yes"),"Approved","Rejected")</f>
        <v>Rejected</v>
      </c>
      <c r="L133">
        <f>IF(Claims[[#This Row],[Validation Status]]="Approved",_xlfn.XLOOKUP(Claims[[#This Row],[Product]],Products[Product],Products[Cashback],0),0)</f>
        <v>0</v>
      </c>
      <c r="M133">
        <v>600</v>
      </c>
      <c r="N133" t="str">
        <f>IF(Claims[[#This Row],[Validation Status]]="Rejected","Cancelled",IF(MOD(Claims[[#This Row],[Sequence]],5)=0,"Pending","Paid"))</f>
        <v>Cancelled</v>
      </c>
      <c r="O133" s="2" t="str">
        <f>IF(Claims[[#This Row],[Payment Status]]="Paid",Claims[[#This Row],[Claim date]]+2+MOD(Claims[[#This Row],[Sequence]],6),"")</f>
        <v/>
      </c>
      <c r="P133" t="str">
        <f>IF(OR(Claims[[#This Row],[Payment Status]]&lt;&gt;"Paid",Claims[[#This Row],[Payment Date]]="",Claims[[#This Row],[Claim date]]=""),"",Claims[[#This Row],[Payment Date]]-Claims[[#This Row],[Claim date]])</f>
        <v/>
      </c>
    </row>
    <row r="134" spans="1:16" x14ac:dyDescent="0.25">
      <c r="A134" t="str">
        <f>"CLM-"&amp;TEXT(Claims[[#This Row],[Sequence]],"0000")</f>
        <v>CLM-0133</v>
      </c>
      <c r="B134" cm="1">
        <f t="array" ref="B134">ROW()-ROW(Claims[#Headers])</f>
        <v>133</v>
      </c>
      <c r="C134" t="s">
        <v>9</v>
      </c>
      <c r="D134" t="s">
        <v>59</v>
      </c>
      <c r="E134" t="s">
        <v>19</v>
      </c>
      <c r="F134" s="2">
        <f>DATE(2026,5,1)+MOD(Claims[[#This Row],[Sequence]]*7,61)</f>
        <v>46159</v>
      </c>
      <c r="G134" s="2">
        <f>Claims[[#This Row],[Purchase Date]]+1+MOD(Claims[[#This Row],[Sequence]]*3,14)</f>
        <v>46167</v>
      </c>
      <c r="H134" t="s">
        <v>35</v>
      </c>
      <c r="I134" t="s">
        <v>36</v>
      </c>
      <c r="J134" t="s">
        <v>35</v>
      </c>
      <c r="K134" t="str">
        <f>IF(AND(Claims[[#This Row],[Invoice Attached]]="Yes",Claims[[#This Row],[Serial Number Valid]]="Yes",Claims[[#This Row],[Promotion Eligible]]="Yes"),"Approved","Rejected")</f>
        <v>Rejected</v>
      </c>
      <c r="L134">
        <f>IF(Claims[[#This Row],[Validation Status]]="Approved",_xlfn.XLOOKUP(Claims[[#This Row],[Product]],Products[Product],Products[Cashback],0),0)</f>
        <v>0</v>
      </c>
      <c r="M134">
        <v>1100</v>
      </c>
      <c r="N134" t="str">
        <f>IF(Claims[[#This Row],[Validation Status]]="Rejected","Cancelled",IF(MOD(Claims[[#This Row],[Sequence]],5)=0,"Pending","Paid"))</f>
        <v>Cancelled</v>
      </c>
      <c r="O134" s="2" t="str">
        <f>IF(Claims[[#This Row],[Payment Status]]="Paid",Claims[[#This Row],[Claim date]]+2+MOD(Claims[[#This Row],[Sequence]],6),"")</f>
        <v/>
      </c>
      <c r="P134" t="str">
        <f>IF(OR(Claims[[#This Row],[Payment Status]]&lt;&gt;"Paid",Claims[[#This Row],[Payment Date]]="",Claims[[#This Row],[Claim date]]=""),"",Claims[[#This Row],[Payment Date]]-Claims[[#This Row],[Claim date]])</f>
        <v/>
      </c>
    </row>
    <row r="135" spans="1:16" x14ac:dyDescent="0.25">
      <c r="A135" t="str">
        <f>"CLM-"&amp;TEXT(Claims[[#This Row],[Sequence]],"0000")</f>
        <v>CLM-0134</v>
      </c>
      <c r="B135" cm="1">
        <f t="array" ref="B135">ROW()-ROW(Claims[#Headers])</f>
        <v>134</v>
      </c>
      <c r="C135" t="s">
        <v>6</v>
      </c>
      <c r="D135" t="s">
        <v>60</v>
      </c>
      <c r="E135" t="s">
        <v>20</v>
      </c>
      <c r="F135" s="2">
        <f>DATE(2026,5,1)+MOD(Claims[[#This Row],[Sequence]]*7,61)</f>
        <v>46166</v>
      </c>
      <c r="G135" s="2">
        <f>Claims[[#This Row],[Purchase Date]]+1+MOD(Claims[[#This Row],[Sequence]]*3,14)</f>
        <v>46177</v>
      </c>
      <c r="H135" t="s">
        <v>35</v>
      </c>
      <c r="I135" t="s">
        <v>35</v>
      </c>
      <c r="J135" t="s">
        <v>35</v>
      </c>
      <c r="K135" t="str">
        <f>IF(AND(Claims[[#This Row],[Invoice Attached]]="Yes",Claims[[#This Row],[Serial Number Valid]]="Yes",Claims[[#This Row],[Promotion Eligible]]="Yes"),"Approved","Rejected")</f>
        <v>Approved</v>
      </c>
      <c r="L135">
        <f>IF(Claims[[#This Row],[Validation Status]]="Approved",_xlfn.XLOOKUP(Claims[[#This Row],[Product]],Products[Product],Products[Cashback],0),0)</f>
        <v>70</v>
      </c>
      <c r="M135">
        <v>1000</v>
      </c>
      <c r="N135" t="str">
        <f>IF(Claims[[#This Row],[Validation Status]]="Rejected","Cancelled",IF(MOD(Claims[[#This Row],[Sequence]],5)=0,"Pending","Paid"))</f>
        <v>Paid</v>
      </c>
      <c r="O135" s="2">
        <f>IF(Claims[[#This Row],[Payment Status]]="Paid",Claims[[#This Row],[Claim date]]+2+MOD(Claims[[#This Row],[Sequence]],6),"")</f>
        <v>46181</v>
      </c>
      <c r="P135">
        <f>IF(OR(Claims[[#This Row],[Payment Status]]&lt;&gt;"Paid",Claims[[#This Row],[Payment Date]]="",Claims[[#This Row],[Claim date]]=""),"",Claims[[#This Row],[Payment Date]]-Claims[[#This Row],[Claim date]])</f>
        <v>4</v>
      </c>
    </row>
    <row r="136" spans="1:16" x14ac:dyDescent="0.25">
      <c r="A136" t="str">
        <f>"CLM-"&amp;TEXT(Claims[[#This Row],[Sequence]],"0000")</f>
        <v>CLM-0135</v>
      </c>
      <c r="B136" cm="1">
        <f t="array" ref="B136">ROW()-ROW(Claims[#Headers])</f>
        <v>135</v>
      </c>
      <c r="C136" t="s">
        <v>7</v>
      </c>
      <c r="D136" t="s">
        <v>61</v>
      </c>
      <c r="E136" t="s">
        <v>8</v>
      </c>
      <c r="F136" s="2">
        <f>DATE(2026,5,1)+MOD(Claims[[#This Row],[Sequence]]*7,61)</f>
        <v>46173</v>
      </c>
      <c r="G136" s="2">
        <f>Claims[[#This Row],[Purchase Date]]+1+MOD(Claims[[#This Row],[Sequence]]*3,14)</f>
        <v>46187</v>
      </c>
      <c r="H136" t="s">
        <v>36</v>
      </c>
      <c r="I136" t="s">
        <v>35</v>
      </c>
      <c r="J136" t="s">
        <v>35</v>
      </c>
      <c r="K136" t="str">
        <f>IF(AND(Claims[[#This Row],[Invoice Attached]]="Yes",Claims[[#This Row],[Serial Number Valid]]="Yes",Claims[[#This Row],[Promotion Eligible]]="Yes"),"Approved","Rejected")</f>
        <v>Rejected</v>
      </c>
      <c r="L136">
        <f>IF(Claims[[#This Row],[Validation Status]]="Approved",_xlfn.XLOOKUP(Claims[[#This Row],[Product]],Products[Product],Products[Cashback],0),0)</f>
        <v>0</v>
      </c>
      <c r="M136">
        <v>200</v>
      </c>
      <c r="N136" t="str">
        <f>IF(Claims[[#This Row],[Validation Status]]="Rejected","Cancelled",IF(MOD(Claims[[#This Row],[Sequence]],5)=0,"Pending","Paid"))</f>
        <v>Cancelled</v>
      </c>
      <c r="O136" s="2" t="str">
        <f>IF(Claims[[#This Row],[Payment Status]]="Paid",Claims[[#This Row],[Claim date]]+2+MOD(Claims[[#This Row],[Sequence]],6),"")</f>
        <v/>
      </c>
      <c r="P136" t="str">
        <f>IF(OR(Claims[[#This Row],[Payment Status]]&lt;&gt;"Paid",Claims[[#This Row],[Payment Date]]="",Claims[[#This Row],[Claim date]]=""),"",Claims[[#This Row],[Payment Date]]-Claims[[#This Row],[Claim date]])</f>
        <v/>
      </c>
    </row>
    <row r="137" spans="1:16" x14ac:dyDescent="0.25">
      <c r="A137" t="str">
        <f>"CLM-"&amp;TEXT(Claims[[#This Row],[Sequence]],"0000")</f>
        <v>CLM-0136</v>
      </c>
      <c r="B137" cm="1">
        <f t="array" ref="B137">ROW()-ROW(Claims[#Headers])</f>
        <v>136</v>
      </c>
      <c r="C137" t="s">
        <v>9</v>
      </c>
      <c r="D137" t="s">
        <v>57</v>
      </c>
      <c r="E137" t="s">
        <v>21</v>
      </c>
      <c r="F137" s="2">
        <f>DATE(2026,5,1)+MOD(Claims[[#This Row],[Sequence]]*7,61)</f>
        <v>46180</v>
      </c>
      <c r="G137" s="2">
        <f>Claims[[#This Row],[Purchase Date]]+1+MOD(Claims[[#This Row],[Sequence]]*3,14)</f>
        <v>46183</v>
      </c>
      <c r="H137" t="s">
        <v>35</v>
      </c>
      <c r="I137" t="s">
        <v>36</v>
      </c>
      <c r="J137" t="s">
        <v>36</v>
      </c>
      <c r="K137" t="str">
        <f>IF(AND(Claims[[#This Row],[Invoice Attached]]="Yes",Claims[[#This Row],[Serial Number Valid]]="Yes",Claims[[#This Row],[Promotion Eligible]]="Yes"),"Approved","Rejected")</f>
        <v>Rejected</v>
      </c>
      <c r="L137">
        <f>IF(Claims[[#This Row],[Validation Status]]="Approved",_xlfn.XLOOKUP(Claims[[#This Row],[Product]],Products[Product],Products[Cashback],0),0)</f>
        <v>0</v>
      </c>
      <c r="M137">
        <v>650</v>
      </c>
      <c r="N137" t="str">
        <f>IF(Claims[[#This Row],[Validation Status]]="Rejected","Cancelled",IF(MOD(Claims[[#This Row],[Sequence]],5)=0,"Pending","Paid"))</f>
        <v>Cancelled</v>
      </c>
      <c r="O137" s="2" t="str">
        <f>IF(Claims[[#This Row],[Payment Status]]="Paid",Claims[[#This Row],[Claim date]]+2+MOD(Claims[[#This Row],[Sequence]],6),"")</f>
        <v/>
      </c>
      <c r="P137" t="str">
        <f>IF(OR(Claims[[#This Row],[Payment Status]]&lt;&gt;"Paid",Claims[[#This Row],[Payment Date]]="",Claims[[#This Row],[Claim date]]=""),"",Claims[[#This Row],[Payment Date]]-Claims[[#This Row],[Claim date]])</f>
        <v/>
      </c>
    </row>
    <row r="138" spans="1:16" x14ac:dyDescent="0.25">
      <c r="A138" t="str">
        <f>"CLM-"&amp;TEXT(Claims[[#This Row],[Sequence]],"0000")</f>
        <v>CLM-0137</v>
      </c>
      <c r="B138" cm="1">
        <f t="array" ref="B138">ROW()-ROW(Claims[#Headers])</f>
        <v>137</v>
      </c>
      <c r="C138" t="s">
        <v>6</v>
      </c>
      <c r="D138" t="s">
        <v>58</v>
      </c>
      <c r="E138" t="s">
        <v>17</v>
      </c>
      <c r="F138" s="2">
        <f>DATE(2026,5,1)+MOD(Claims[[#This Row],[Sequence]]*7,61)</f>
        <v>46187</v>
      </c>
      <c r="G138" s="2">
        <f>Claims[[#This Row],[Purchase Date]]+1+MOD(Claims[[#This Row],[Sequence]]*3,14)</f>
        <v>46193</v>
      </c>
      <c r="H138" t="s">
        <v>35</v>
      </c>
      <c r="I138" t="s">
        <v>35</v>
      </c>
      <c r="J138" t="s">
        <v>35</v>
      </c>
      <c r="K138" t="str">
        <f>IF(AND(Claims[[#This Row],[Invoice Attached]]="Yes",Claims[[#This Row],[Serial Number Valid]]="Yes",Claims[[#This Row],[Promotion Eligible]]="Yes"),"Approved","Rejected")</f>
        <v>Approved</v>
      </c>
      <c r="L138">
        <f>IF(Claims[[#This Row],[Validation Status]]="Approved",_xlfn.XLOOKUP(Claims[[#This Row],[Product]],Products[Product],Products[Cashback],0),0)</f>
        <v>80</v>
      </c>
      <c r="M138">
        <v>1050</v>
      </c>
      <c r="N138" t="str">
        <f>IF(Claims[[#This Row],[Validation Status]]="Rejected","Cancelled",IF(MOD(Claims[[#This Row],[Sequence]],5)=0,"Pending","Paid"))</f>
        <v>Paid</v>
      </c>
      <c r="O138" s="2">
        <f>IF(Claims[[#This Row],[Payment Status]]="Paid",Claims[[#This Row],[Claim date]]+2+MOD(Claims[[#This Row],[Sequence]],6),"")</f>
        <v>46200</v>
      </c>
      <c r="P138">
        <f>IF(OR(Claims[[#This Row],[Payment Status]]&lt;&gt;"Paid",Claims[[#This Row],[Payment Date]]="",Claims[[#This Row],[Claim date]]=""),"",Claims[[#This Row],[Payment Date]]-Claims[[#This Row],[Claim date]])</f>
        <v>7</v>
      </c>
    </row>
    <row r="139" spans="1:16" x14ac:dyDescent="0.25">
      <c r="A139" t="str">
        <f>"CLM-"&amp;TEXT(Claims[[#This Row],[Sequence]],"0000")</f>
        <v>CLM-0138</v>
      </c>
      <c r="B139" cm="1">
        <f t="array" ref="B139">ROW()-ROW(Claims[#Headers])</f>
        <v>138</v>
      </c>
      <c r="C139" t="s">
        <v>7</v>
      </c>
      <c r="D139" t="s">
        <v>59</v>
      </c>
      <c r="E139" t="s">
        <v>18</v>
      </c>
      <c r="F139" s="2">
        <f>DATE(2026,5,1)+MOD(Claims[[#This Row],[Sequence]]*7,61)</f>
        <v>46194</v>
      </c>
      <c r="G139" s="2">
        <f>Claims[[#This Row],[Purchase Date]]+1+MOD(Claims[[#This Row],[Sequence]]*3,14)</f>
        <v>46203</v>
      </c>
      <c r="H139" t="s">
        <v>35</v>
      </c>
      <c r="I139" t="s">
        <v>35</v>
      </c>
      <c r="J139" t="s">
        <v>35</v>
      </c>
      <c r="K139" t="str">
        <f>IF(AND(Claims[[#This Row],[Invoice Attached]]="Yes",Claims[[#This Row],[Serial Number Valid]]="Yes",Claims[[#This Row],[Promotion Eligible]]="Yes"),"Approved","Rejected")</f>
        <v>Approved</v>
      </c>
      <c r="L139">
        <f>IF(Claims[[#This Row],[Validation Status]]="Approved",_xlfn.XLOOKUP(Claims[[#This Row],[Product]],Products[Product],Products[Cashback],0),0)</f>
        <v>60</v>
      </c>
      <c r="M139">
        <v>220</v>
      </c>
      <c r="N139" t="str">
        <f>IF(Claims[[#This Row],[Validation Status]]="Rejected","Cancelled",IF(MOD(Claims[[#This Row],[Sequence]],5)=0,"Pending","Paid"))</f>
        <v>Paid</v>
      </c>
      <c r="O139" s="2">
        <f>IF(Claims[[#This Row],[Payment Status]]="Paid",Claims[[#This Row],[Claim date]]+2+MOD(Claims[[#This Row],[Sequence]],6),"")</f>
        <v>46205</v>
      </c>
      <c r="P139">
        <f>IF(OR(Claims[[#This Row],[Payment Status]]&lt;&gt;"Paid",Claims[[#This Row],[Payment Date]]="",Claims[[#This Row],[Claim date]]=""),"",Claims[[#This Row],[Payment Date]]-Claims[[#This Row],[Claim date]])</f>
        <v>2</v>
      </c>
    </row>
    <row r="140" spans="1:16" x14ac:dyDescent="0.25">
      <c r="A140" t="str">
        <f>"CLM-"&amp;TEXT(Claims[[#This Row],[Sequence]],"0000")</f>
        <v>CLM-0139</v>
      </c>
      <c r="B140" cm="1">
        <f t="array" ref="B140">ROW()-ROW(Claims[#Headers])</f>
        <v>139</v>
      </c>
      <c r="C140" t="s">
        <v>9</v>
      </c>
      <c r="D140" t="s">
        <v>60</v>
      </c>
      <c r="E140" t="s">
        <v>19</v>
      </c>
      <c r="F140" s="2">
        <f>DATE(2026,5,1)+MOD(Claims[[#This Row],[Sequence]]*7,61)</f>
        <v>46201</v>
      </c>
      <c r="G140" s="2">
        <f>Claims[[#This Row],[Purchase Date]]+1+MOD(Claims[[#This Row],[Sequence]]*3,14)</f>
        <v>46213</v>
      </c>
      <c r="H140" t="s">
        <v>36</v>
      </c>
      <c r="I140" t="s">
        <v>35</v>
      </c>
      <c r="J140" t="s">
        <v>36</v>
      </c>
      <c r="K140" t="str">
        <f>IF(AND(Claims[[#This Row],[Invoice Attached]]="Yes",Claims[[#This Row],[Serial Number Valid]]="Yes",Claims[[#This Row],[Promotion Eligible]]="Yes"),"Approved","Rejected")</f>
        <v>Rejected</v>
      </c>
      <c r="L140">
        <f>IF(Claims[[#This Row],[Validation Status]]="Approved",_xlfn.XLOOKUP(Claims[[#This Row],[Product]],Products[Product],Products[Cashback],0),0)</f>
        <v>0</v>
      </c>
      <c r="M140">
        <v>1000</v>
      </c>
      <c r="N140" t="str">
        <f>IF(Claims[[#This Row],[Validation Status]]="Rejected","Cancelled",IF(MOD(Claims[[#This Row],[Sequence]],5)=0,"Pending","Paid"))</f>
        <v>Cancelled</v>
      </c>
      <c r="O140" s="2" t="str">
        <f>IF(Claims[[#This Row],[Payment Status]]="Paid",Claims[[#This Row],[Claim date]]+2+MOD(Claims[[#This Row],[Sequence]],6),"")</f>
        <v/>
      </c>
      <c r="P140" t="str">
        <f>IF(OR(Claims[[#This Row],[Payment Status]]&lt;&gt;"Paid",Claims[[#This Row],[Payment Date]]="",Claims[[#This Row],[Claim date]]=""),"",Claims[[#This Row],[Payment Date]]-Claims[[#This Row],[Claim date]])</f>
        <v/>
      </c>
    </row>
    <row r="141" spans="1:16" x14ac:dyDescent="0.25">
      <c r="A141" t="str">
        <f>"CLM-"&amp;TEXT(Claims[[#This Row],[Sequence]],"0000")</f>
        <v>CLM-0140</v>
      </c>
      <c r="B141" cm="1">
        <f t="array" ref="B141">ROW()-ROW(Claims[#Headers])</f>
        <v>140</v>
      </c>
      <c r="C141" t="s">
        <v>6</v>
      </c>
      <c r="D141" t="s">
        <v>61</v>
      </c>
      <c r="E141" t="s">
        <v>20</v>
      </c>
      <c r="F141" s="2">
        <f>DATE(2026,5,1)+MOD(Claims[[#This Row],[Sequence]]*7,61)</f>
        <v>46147</v>
      </c>
      <c r="G141" s="2">
        <f>Claims[[#This Row],[Purchase Date]]+1+MOD(Claims[[#This Row],[Sequence]]*3,14)</f>
        <v>46148</v>
      </c>
      <c r="H141" t="s">
        <v>36</v>
      </c>
      <c r="I141" t="s">
        <v>36</v>
      </c>
      <c r="J141" t="s">
        <v>36</v>
      </c>
      <c r="K141" t="str">
        <f>IF(AND(Claims[[#This Row],[Invoice Attached]]="Yes",Claims[[#This Row],[Serial Number Valid]]="Yes",Claims[[#This Row],[Promotion Eligible]]="Yes"),"Approved","Rejected")</f>
        <v>Rejected</v>
      </c>
      <c r="L141">
        <f>IF(Claims[[#This Row],[Validation Status]]="Approved",_xlfn.XLOOKUP(Claims[[#This Row],[Product]],Products[Product],Products[Cashback],0),0)</f>
        <v>0</v>
      </c>
      <c r="M141">
        <v>600</v>
      </c>
      <c r="N141" t="str">
        <f>IF(Claims[[#This Row],[Validation Status]]="Rejected","Cancelled",IF(MOD(Claims[[#This Row],[Sequence]],5)=0,"Pending","Paid"))</f>
        <v>Cancelled</v>
      </c>
      <c r="O141" s="2" t="str">
        <f>IF(Claims[[#This Row],[Payment Status]]="Paid",Claims[[#This Row],[Claim date]]+2+MOD(Claims[[#This Row],[Sequence]],6),"")</f>
        <v/>
      </c>
      <c r="P141" t="str">
        <f>IF(OR(Claims[[#This Row],[Payment Status]]&lt;&gt;"Paid",Claims[[#This Row],[Payment Date]]="",Claims[[#This Row],[Claim date]]=""),"",Claims[[#This Row],[Payment Date]]-Claims[[#This Row],[Claim date]])</f>
        <v/>
      </c>
    </row>
  </sheetData>
  <phoneticPr fontId="4" type="noConversion"/>
  <conditionalFormatting sqref="K2:K141">
    <cfRule type="cellIs" dxfId="11" priority="1" operator="equal">
      <formula>"Rejected"</formula>
    </cfRule>
    <cfRule type="cellIs" dxfId="10" priority="2" operator="equal">
      <formula>"Approved"</formula>
    </cfRule>
    <cfRule type="containsText" dxfId="9" priority="6" operator="containsText" text="Approved">
      <formula>NOT(ISERROR(SEARCH("Approved",K2)))</formula>
    </cfRule>
  </conditionalFormatting>
  <conditionalFormatting sqref="K3:K11 L2:L11">
    <cfRule type="containsText" dxfId="8" priority="7" operator="containsText" text="REJECTED">
      <formula>NOT(ISERROR(SEARCH("REJECTED",K2)))</formula>
    </cfRule>
  </conditionalFormatting>
  <conditionalFormatting sqref="L2 K3:L11">
    <cfRule type="containsText" dxfId="7" priority="8" operator="containsText" text="APPROVED">
      <formula>NOT(ISERROR(SEARCH("APPROVED",K2)))</formula>
    </cfRule>
  </conditionalFormatting>
  <conditionalFormatting sqref="P2:P141">
    <cfRule type="cellIs" dxfId="6" priority="3" operator="greaterThan">
      <formula>10</formula>
    </cfRule>
    <cfRule type="cellIs" dxfId="5" priority="4" operator="between">
      <formula>6</formula>
      <formula>10</formula>
    </cfRule>
    <cfRule type="cellIs" dxfId="4" priority="5" operator="lessThanOrEqual">
      <formula>5</formula>
    </cfRule>
  </conditionalFormatting>
  <pageMargins left="0.7" right="0.7" top="0.75" bottom="0.75" header="0.3" footer="0.3"/>
  <pageSetup orientation="portrait" horizontalDpi="1200" verticalDpi="1200"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BCE1A516-3C1C-4550-BB57-272DDB4C2D0A}">
          <x14:formula1>
            <xm:f>'Reference_Data'!$E$3:$E$4</xm:f>
          </x14:formula1>
          <xm:sqref>H2:J141</xm:sqref>
        </x14:dataValidation>
        <x14:dataValidation type="list" allowBlank="1" showInputMessage="1" showErrorMessage="1" xr:uid="{5C88A096-D8BB-44EE-AA80-3AA1602D98EA}">
          <x14:formula1>
            <xm:f>'Reference_Data'!$C$3:$C$5</xm:f>
          </x14:formula1>
          <xm:sqref>N2:N141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B6E6-C63E-43EC-8AD5-2ED4511FB53A}">
  <dimension ref="A1:G8"/>
  <sheetViews>
    <sheetView workbookViewId="0">
      <pane ySplit="1" topLeftCell="A2" activePane="bottomLeft" state="frozen"/>
      <selection pane="bottomLeft" activeCell="B8" sqref="B8"/>
    </sheetView>
  </sheetViews>
  <sheetFormatPr defaultRowHeight="15" x14ac:dyDescent="0.25"/>
  <cols>
    <col min="1" max="1" width="18.5703125" bestFit="1" customWidth="1"/>
    <col min="2" max="2" width="11" customWidth="1"/>
    <col min="3" max="3" width="17.42578125" bestFit="1" customWidth="1"/>
    <col min="4" max="6" width="11" customWidth="1"/>
    <col min="7" max="7" width="21" bestFit="1" customWidth="1"/>
  </cols>
  <sheetData>
    <row r="1" spans="1:7" x14ac:dyDescent="0.25">
      <c r="A1" t="s">
        <v>10</v>
      </c>
      <c r="B1" t="s">
        <v>43</v>
      </c>
      <c r="C1" t="s">
        <v>26</v>
      </c>
      <c r="D1" t="s">
        <v>44</v>
      </c>
      <c r="E1" t="s">
        <v>34</v>
      </c>
      <c r="F1" t="s">
        <v>45</v>
      </c>
      <c r="G1" t="s">
        <v>24</v>
      </c>
    </row>
    <row r="2" spans="1:7" x14ac:dyDescent="0.25">
      <c r="A2" t="s">
        <v>10</v>
      </c>
      <c r="C2" t="s">
        <v>26</v>
      </c>
      <c r="E2" t="s">
        <v>34</v>
      </c>
      <c r="G2" t="s">
        <v>24</v>
      </c>
    </row>
    <row r="3" spans="1:7" x14ac:dyDescent="0.25">
      <c r="A3" t="s">
        <v>29</v>
      </c>
      <c r="C3" t="s">
        <v>31</v>
      </c>
      <c r="E3" t="s">
        <v>35</v>
      </c>
      <c r="G3" t="s">
        <v>37</v>
      </c>
    </row>
    <row r="4" spans="1:7" x14ac:dyDescent="0.25">
      <c r="A4" t="s">
        <v>30</v>
      </c>
      <c r="C4" t="s">
        <v>32</v>
      </c>
      <c r="E4" t="s">
        <v>36</v>
      </c>
      <c r="G4" t="s">
        <v>38</v>
      </c>
    </row>
    <row r="5" spans="1:7" x14ac:dyDescent="0.25">
      <c r="C5" t="s">
        <v>33</v>
      </c>
      <c r="G5" t="s">
        <v>39</v>
      </c>
    </row>
    <row r="6" spans="1:7" x14ac:dyDescent="0.25">
      <c r="G6" t="s">
        <v>40</v>
      </c>
    </row>
    <row r="7" spans="1:7" x14ac:dyDescent="0.25">
      <c r="G7" t="s">
        <v>41</v>
      </c>
    </row>
    <row r="8" spans="1:7" x14ac:dyDescent="0.25">
      <c r="G8"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E97B1-9881-44E9-A522-4407A455CE78}">
  <dimension ref="A1:B9"/>
  <sheetViews>
    <sheetView workbookViewId="0">
      <pane ySplit="1" topLeftCell="A2" activePane="bottomLeft" state="frozen"/>
      <selection pane="bottomLeft" activeCell="A6" sqref="A6"/>
    </sheetView>
  </sheetViews>
  <sheetFormatPr defaultRowHeight="15" x14ac:dyDescent="0.25"/>
  <cols>
    <col min="1" max="1" width="16.28515625" bestFit="1" customWidth="1"/>
    <col min="2" max="2" width="11.85546875" customWidth="1"/>
  </cols>
  <sheetData>
    <row r="1" spans="1:2" x14ac:dyDescent="0.25">
      <c r="A1" s="5" t="s">
        <v>13</v>
      </c>
      <c r="B1" s="5" t="s">
        <v>14</v>
      </c>
    </row>
    <row r="2" spans="1:2" x14ac:dyDescent="0.25">
      <c r="A2" t="s">
        <v>15</v>
      </c>
      <c r="B2">
        <v>150</v>
      </c>
    </row>
    <row r="3" spans="1:2" x14ac:dyDescent="0.25">
      <c r="A3" t="s">
        <v>16</v>
      </c>
      <c r="B3">
        <v>200</v>
      </c>
    </row>
    <row r="4" spans="1:2" x14ac:dyDescent="0.25">
      <c r="A4" t="s">
        <v>17</v>
      </c>
      <c r="B4">
        <v>80</v>
      </c>
    </row>
    <row r="5" spans="1:2" x14ac:dyDescent="0.25">
      <c r="A5" t="s">
        <v>18</v>
      </c>
      <c r="B5">
        <v>60</v>
      </c>
    </row>
    <row r="6" spans="1:2" x14ac:dyDescent="0.25">
      <c r="A6" t="s">
        <v>19</v>
      </c>
      <c r="B6">
        <v>50</v>
      </c>
    </row>
    <row r="7" spans="1:2" x14ac:dyDescent="0.25">
      <c r="A7" t="s">
        <v>20</v>
      </c>
      <c r="B7">
        <v>70</v>
      </c>
    </row>
    <row r="8" spans="1:2" x14ac:dyDescent="0.25">
      <c r="A8" t="s">
        <v>8</v>
      </c>
      <c r="B8">
        <v>120</v>
      </c>
    </row>
    <row r="9" spans="1:2" x14ac:dyDescent="0.25">
      <c r="A9" t="s">
        <v>21</v>
      </c>
      <c r="B9">
        <v>250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C2963-1DCD-48F4-865B-C3C8DA7F326B}">
  <dimension ref="B1:J3"/>
  <sheetViews>
    <sheetView topLeftCell="A17" zoomScaleNormal="100" workbookViewId="0">
      <selection activeCell="Q17" sqref="Q17"/>
    </sheetView>
  </sheetViews>
  <sheetFormatPr defaultRowHeight="15" x14ac:dyDescent="0.25"/>
  <cols>
    <col min="1" max="1" width="16" customWidth="1"/>
    <col min="2" max="2" width="12" bestFit="1" customWidth="1"/>
    <col min="4" max="4" width="16" bestFit="1" customWidth="1"/>
    <col min="6" max="6" width="15.140625" bestFit="1" customWidth="1"/>
    <col min="8" max="8" width="14.7109375" bestFit="1" customWidth="1"/>
    <col min="10" max="10" width="19.140625" bestFit="1" customWidth="1"/>
  </cols>
  <sheetData>
    <row r="1" spans="2:10" ht="24.75" thickBot="1" x14ac:dyDescent="0.45">
      <c r="B1" s="10" t="s">
        <v>54</v>
      </c>
      <c r="C1" s="10"/>
      <c r="D1" s="10"/>
      <c r="E1" s="10"/>
      <c r="F1" s="10"/>
      <c r="G1" s="10"/>
      <c r="H1" s="10"/>
      <c r="I1" s="10"/>
      <c r="J1" s="10"/>
    </row>
    <row r="2" spans="2:10" x14ac:dyDescent="0.25">
      <c r="B2" s="8" t="s">
        <v>49</v>
      </c>
      <c r="C2" s="6"/>
      <c r="D2" s="8" t="s">
        <v>50</v>
      </c>
      <c r="E2" s="6"/>
      <c r="F2" s="8" t="s">
        <v>51</v>
      </c>
      <c r="G2" s="6"/>
      <c r="H2" s="8" t="s">
        <v>52</v>
      </c>
      <c r="I2" s="6"/>
      <c r="J2" s="8" t="s">
        <v>53</v>
      </c>
    </row>
    <row r="3" spans="2:10" ht="27" thickBot="1" x14ac:dyDescent="0.45">
      <c r="B3" s="9">
        <f>ROWS(Claims[Claim ID])</f>
        <v>140</v>
      </c>
      <c r="C3" s="7"/>
      <c r="D3" s="9">
        <f>COUNTIF(Claims[Validation Status],"Approved")</f>
        <v>56</v>
      </c>
      <c r="E3" s="7"/>
      <c r="F3" s="9">
        <f>COUNTIF(Claims[Validation Status],"Rejected")</f>
        <v>84</v>
      </c>
      <c r="G3" s="7"/>
      <c r="H3" s="9">
        <f>SUM(Claims[Cashback Amount (EUR)])</f>
        <v>6750</v>
      </c>
      <c r="I3" s="7"/>
      <c r="J3" s="9">
        <f>AVERAGE(Claims[Processing Days])</f>
        <v>4.5</v>
      </c>
    </row>
  </sheetData>
  <mergeCells count="1">
    <mergeCell ref="B1:J1"/>
  </mergeCells>
  <conditionalFormatting sqref="B3">
    <cfRule type="cellIs" dxfId="3" priority="4" operator="greaterThan">
      <formula>0</formula>
    </cfRule>
  </conditionalFormatting>
  <conditionalFormatting sqref="F3">
    <cfRule type="cellIs" dxfId="2" priority="3" operator="greaterThan">
      <formula>0</formula>
    </cfRule>
  </conditionalFormatting>
  <conditionalFormatting sqref="J3">
    <cfRule type="cellIs" dxfId="1" priority="1" operator="greaterThan">
      <formula>5</formula>
    </cfRule>
    <cfRule type="cellIs" dxfId="0" priority="2" operator="lessThanOrEqual">
      <formula>5</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BA4E6-20B0-4EFF-A7DD-8953F0A88DE2}">
  <dimension ref="A1:B31"/>
  <sheetViews>
    <sheetView topLeftCell="A4" workbookViewId="0">
      <selection activeCell="B25" sqref="B25"/>
    </sheetView>
  </sheetViews>
  <sheetFormatPr defaultRowHeight="15" x14ac:dyDescent="0.25"/>
  <cols>
    <col min="1" max="1" width="13.42578125" bestFit="1" customWidth="1"/>
    <col min="2" max="2" width="17.28515625" bestFit="1" customWidth="1"/>
  </cols>
  <sheetData>
    <row r="1" spans="1:2" x14ac:dyDescent="0.25">
      <c r="A1" s="3" t="s">
        <v>11</v>
      </c>
      <c r="B1" t="s">
        <v>46</v>
      </c>
    </row>
    <row r="2" spans="1:2" x14ac:dyDescent="0.25">
      <c r="A2" s="4" t="s">
        <v>29</v>
      </c>
      <c r="B2">
        <v>56</v>
      </c>
    </row>
    <row r="3" spans="1:2" x14ac:dyDescent="0.25">
      <c r="A3" s="4" t="s">
        <v>30</v>
      </c>
      <c r="B3">
        <v>84</v>
      </c>
    </row>
    <row r="4" spans="1:2" x14ac:dyDescent="0.25">
      <c r="A4" s="4" t="s">
        <v>12</v>
      </c>
      <c r="B4">
        <v>140</v>
      </c>
    </row>
    <row r="6" spans="1:2" x14ac:dyDescent="0.25">
      <c r="A6" s="3" t="s">
        <v>11</v>
      </c>
      <c r="B6" t="s">
        <v>47</v>
      </c>
    </row>
    <row r="7" spans="1:2" x14ac:dyDescent="0.25">
      <c r="A7" s="4" t="s">
        <v>18</v>
      </c>
      <c r="B7">
        <v>480</v>
      </c>
    </row>
    <row r="8" spans="1:2" x14ac:dyDescent="0.25">
      <c r="A8" s="4" t="s">
        <v>17</v>
      </c>
      <c r="B8">
        <v>640</v>
      </c>
    </row>
    <row r="9" spans="1:2" x14ac:dyDescent="0.25">
      <c r="A9" s="4" t="s">
        <v>19</v>
      </c>
      <c r="B9">
        <v>300</v>
      </c>
    </row>
    <row r="10" spans="1:2" x14ac:dyDescent="0.25">
      <c r="A10" s="4" t="s">
        <v>15</v>
      </c>
      <c r="B10">
        <v>1050</v>
      </c>
    </row>
    <row r="11" spans="1:2" x14ac:dyDescent="0.25">
      <c r="A11" s="4" t="s">
        <v>16</v>
      </c>
      <c r="B11">
        <v>1200</v>
      </c>
    </row>
    <row r="12" spans="1:2" x14ac:dyDescent="0.25">
      <c r="A12" s="4" t="s">
        <v>8</v>
      </c>
      <c r="B12">
        <v>840</v>
      </c>
    </row>
    <row r="13" spans="1:2" x14ac:dyDescent="0.25">
      <c r="A13" s="4" t="s">
        <v>20</v>
      </c>
      <c r="B13">
        <v>490</v>
      </c>
    </row>
    <row r="14" spans="1:2" x14ac:dyDescent="0.25">
      <c r="A14" s="4" t="s">
        <v>21</v>
      </c>
      <c r="B14">
        <v>1750</v>
      </c>
    </row>
    <row r="15" spans="1:2" x14ac:dyDescent="0.25">
      <c r="A15" s="4" t="s">
        <v>12</v>
      </c>
      <c r="B15">
        <v>6750</v>
      </c>
    </row>
    <row r="17" spans="1:2" x14ac:dyDescent="0.25">
      <c r="A17" s="3" t="s">
        <v>11</v>
      </c>
      <c r="B17" t="s">
        <v>46</v>
      </c>
    </row>
    <row r="18" spans="1:2" x14ac:dyDescent="0.25">
      <c r="A18" s="4" t="s">
        <v>33</v>
      </c>
      <c r="B18">
        <v>84</v>
      </c>
    </row>
    <row r="19" spans="1:2" x14ac:dyDescent="0.25">
      <c r="A19" s="4" t="s">
        <v>32</v>
      </c>
      <c r="B19">
        <v>56</v>
      </c>
    </row>
    <row r="20" spans="1:2" x14ac:dyDescent="0.25">
      <c r="A20" s="4" t="s">
        <v>12</v>
      </c>
      <c r="B20">
        <v>140</v>
      </c>
    </row>
    <row r="22" spans="1:2" x14ac:dyDescent="0.25">
      <c r="A22" s="3" t="s">
        <v>11</v>
      </c>
      <c r="B22" t="s">
        <v>48</v>
      </c>
    </row>
    <row r="23" spans="1:2" x14ac:dyDescent="0.25">
      <c r="A23" s="4" t="s">
        <v>18</v>
      </c>
      <c r="B23">
        <v>4</v>
      </c>
    </row>
    <row r="24" spans="1:2" x14ac:dyDescent="0.25">
      <c r="A24" s="4" t="s">
        <v>17</v>
      </c>
      <c r="B24">
        <v>5.5</v>
      </c>
    </row>
    <row r="25" spans="1:2" x14ac:dyDescent="0.25">
      <c r="A25" s="4" t="s">
        <v>19</v>
      </c>
      <c r="B25">
        <v>5</v>
      </c>
    </row>
    <row r="26" spans="1:2" x14ac:dyDescent="0.25">
      <c r="A26" s="4" t="s">
        <v>15</v>
      </c>
      <c r="B26">
        <v>4.7142857142857144</v>
      </c>
    </row>
    <row r="27" spans="1:2" x14ac:dyDescent="0.25">
      <c r="A27" s="4" t="s">
        <v>16</v>
      </c>
      <c r="B27">
        <v>4</v>
      </c>
    </row>
    <row r="28" spans="1:2" x14ac:dyDescent="0.25">
      <c r="A28" s="4" t="s">
        <v>8</v>
      </c>
      <c r="B28">
        <v>4.7142857142857144</v>
      </c>
    </row>
    <row r="29" spans="1:2" x14ac:dyDescent="0.25">
      <c r="A29" s="4" t="s">
        <v>20</v>
      </c>
      <c r="B29">
        <v>4</v>
      </c>
    </row>
    <row r="30" spans="1:2" x14ac:dyDescent="0.25">
      <c r="A30" s="4" t="s">
        <v>21</v>
      </c>
      <c r="B30">
        <v>4</v>
      </c>
    </row>
    <row r="31" spans="1:2" x14ac:dyDescent="0.25">
      <c r="A31" s="4" t="s">
        <v>12</v>
      </c>
      <c r="B31">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Claims</vt:lpstr>
      <vt:lpstr>Reference_Data</vt:lpstr>
      <vt:lpstr>Products</vt:lpstr>
      <vt:lpstr>Dashboard</vt:lpstr>
      <vt:lpstr>Pivot_Data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CLAUDIU ANDREI NICULIN</dc:creator>
  <cp:lastModifiedBy>Andrei Niculin</cp:lastModifiedBy>
  <dcterms:created xsi:type="dcterms:W3CDTF">2026-07-28T15:51:32Z</dcterms:created>
  <dcterms:modified xsi:type="dcterms:W3CDTF">2026-07-29T20:43:49Z</dcterms:modified>
</cp:coreProperties>
</file>